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23192\Desktop\DFS\DFS\"/>
    </mc:Choice>
  </mc:AlternateContent>
  <xr:revisionPtr revIDLastSave="0" documentId="13_ncr:1_{E22E6A75-1CED-4281-AF25-03C73CBED5E7}" xr6:coauthVersionLast="47" xr6:coauthVersionMax="47" xr10:uidLastSave="{00000000-0000-0000-0000-000000000000}"/>
  <bookViews>
    <workbookView xWindow="-90" yWindow="0" windowWidth="19380" windowHeight="20970" activeTab="1" xr2:uid="{00000000-000D-0000-FFFF-FFFF00000000}"/>
  </bookViews>
  <sheets>
    <sheet name="Baseline Parameters" sheetId="1" r:id="rId1"/>
    <sheet name="Baseline Simple Parameters" sheetId="2" r:id="rId2"/>
    <sheet name="Architecture" sheetId="3" r:id="rId3"/>
    <sheet name="Simple Results by Lambda" sheetId="4" r:id="rId4"/>
    <sheet name="Simple Per-Class Recall" sheetId="5" r:id="rId5"/>
    <sheet name="Simple Confusion Matrices" sheetId="6" r:id="rId6"/>
    <sheet name="Simple Feature Weights" sheetId="7" r:id="rId7"/>
  </sheets>
  <definedNames>
    <definedName name="_xlnm._FilterDatabase" localSheetId="6" hidden="1">'Simple Feature Weights'!$A$3:$AI$105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</calcChain>
</file>

<file path=xl/sharedStrings.xml><?xml version="1.0" encoding="utf-8"?>
<sst xmlns="http://schemas.openxmlformats.org/spreadsheetml/2006/main" count="894" uniqueCount="229">
  <si>
    <t>DFS Baseline Simple — Parameters (dfs_baseline_simple.py)</t>
  </si>
  <si>
    <t>Category</t>
  </si>
  <si>
    <t>Parameter</t>
  </si>
  <si>
    <t>Value</t>
  </si>
  <si>
    <t>Data</t>
  </si>
  <si>
    <t>Dataset</t>
  </si>
  <si>
    <t>GM12878 200bp (GM12878_200bp_Data.txt / _Classes.txt)</t>
  </si>
  <si>
    <t>Samples</t>
  </si>
  <si>
    <t>20,878</t>
  </si>
  <si>
    <t>Features</t>
  </si>
  <si>
    <t>102</t>
  </si>
  <si>
    <t>Classes</t>
  </si>
  <si>
    <t>7: A-E, A-P, A-X, I-E, I-P, I-X, UK</t>
  </si>
  <si>
    <t>Train / Val / Test samples</t>
  </si>
  <si>
    <t>6,959 / 6,959 / 6,960</t>
  </si>
  <si>
    <t>Split</t>
  </si>
  <si>
    <t>Stratified 1/3 train, 1/3 validation, 1/3 test (two train_test_split calls)</t>
  </si>
  <si>
    <t>Split random_state</t>
  </si>
  <si>
    <t>1000 (fixed across seeds and lambdas)</t>
  </si>
  <si>
    <t>Preprocessing</t>
  </si>
  <si>
    <t>Normalization</t>
  </si>
  <si>
    <t>Per-sample (row-wise) L2 normalization: x / ||x||2</t>
  </si>
  <si>
    <t>Details</t>
  </si>
  <si>
    <t>Norm computed in float64, output float32; zero-norm rows unchanged; no fitted parameters</t>
  </si>
  <si>
    <t>Model</t>
  </si>
  <si>
    <t>Architecture</t>
  </si>
  <si>
    <t>102 → Weighted Input (102) → 128 → 64 → 7</t>
  </si>
  <si>
    <t>Weighted Input Layer</t>
  </si>
  <si>
    <t>One-to-one learnable multipliers x ⊙ w</t>
  </si>
  <si>
    <t>Hidden activation</t>
  </si>
  <si>
    <t>tanh</t>
  </si>
  <si>
    <t>Output</t>
  </si>
  <si>
    <t>Raw logits (softmax inside CrossEntropyLoss)</t>
  </si>
  <si>
    <t>Total parameters</t>
  </si>
  <si>
    <t>21,997</t>
  </si>
  <si>
    <t>Initialization</t>
  </si>
  <si>
    <t>input weights=1; hidden uniform +/-sqrt(6/(in+out)); hidden biases=0; output weights and biases=0</t>
  </si>
  <si>
    <t>Loss</t>
  </si>
  <si>
    <t>Classification loss</t>
  </si>
  <si>
    <t>CrossEntropyLoss (mean)</t>
  </si>
  <si>
    <t>Total loss</t>
  </si>
  <si>
    <t>CE + λ · Σ|w| + α1 · ((1 − α2)/2 · ΣW² + α2 · Σ|W|)</t>
  </si>
  <si>
    <t>λ (L1 on input weights)</t>
  </si>
  <si>
    <t>Swept: 0 to 0.03, step 0.001 (31 values)</t>
  </si>
  <si>
    <t>Weight regularization</t>
  </si>
  <si>
    <t>α1 = 0.0001, α2 = 1 (L1) on hidden and output weights; biases excluded (DECRES code; paper states α2 = 0)</t>
  </si>
  <si>
    <t>Training</t>
  </si>
  <si>
    <t>Optimizer</t>
  </si>
  <si>
    <t>SGD</t>
  </si>
  <si>
    <t>Learning rate</t>
  </si>
  <si>
    <t>0.1 (initial)</t>
  </si>
  <si>
    <t>Learning rate decay</t>
  </si>
  <si>
    <t>× 0.8 every period; period starts at 100 epochs, then period = max(20, ceil(0.8 × period)) (DECRES)</t>
  </si>
  <si>
    <t>Momentum</t>
  </si>
  <si>
    <t>0.1</t>
  </si>
  <si>
    <t>Weight decay (optimizer)</t>
  </si>
  <si>
    <t>0 (weight regularization is in the loss)</t>
  </si>
  <si>
    <t>Batch size</t>
  </si>
  <si>
    <t>100</t>
  </si>
  <si>
    <t>Max epochs</t>
  </si>
  <si>
    <t>1,000</t>
  </si>
  <si>
    <t>Early stopping (patience)</t>
  </si>
  <si>
    <t>patience = 5000 iterations; on &gt; 0.5% validation-error improvement, patience = max(patience, 2 × iteration) (DECRES)</t>
  </si>
  <si>
    <t>Early stopping (no improvement)</t>
  </si>
  <si>
    <t>Stop if validation error does not improve for 3 × current decay period epochs (DECRES)</t>
  </si>
  <si>
    <t>Data loader</t>
  </si>
  <si>
    <t>shuffle=True, drop_last=False</t>
  </si>
  <si>
    <t>Model selection</t>
  </si>
  <si>
    <t>Checkpoint</t>
  </si>
  <si>
    <t>Highest validation accuracy; earlier epoch wins ties</t>
  </si>
  <si>
    <t>Feature selection</t>
  </si>
  <si>
    <t>Threshold rule</t>
  </si>
  <si>
    <t>0.001 × max|w| (same as DECRES)</t>
  </si>
  <si>
    <t>Selected if</t>
  </si>
  <si>
    <t>|w| &gt; threshold</t>
  </si>
  <si>
    <t>Sweep</t>
  </si>
  <si>
    <t>Number of λ values</t>
  </si>
  <si>
    <t>31</t>
  </si>
  <si>
    <t>Seeds</t>
  </si>
  <si>
    <t>42</t>
  </si>
  <si>
    <t>Total runs</t>
  </si>
  <si>
    <t>31 (31 × 1)</t>
  </si>
  <si>
    <t>Run order</t>
  </si>
  <si>
    <t>Seed-major (full curve for first seed finishes first)</t>
  </si>
  <si>
    <t>Parallel workers</t>
  </si>
  <si>
    <t>8 processes</t>
  </si>
  <si>
    <t>Resume</t>
  </si>
  <si>
    <t>Completed (λ, seed) runs are skipped on rerun</t>
  </si>
  <si>
    <t>Results directory</t>
  </si>
  <si>
    <t>experiments/dfs_baseline_simple/</t>
  </si>
  <si>
    <t>Reproducibility</t>
  </si>
  <si>
    <t>Device / dtype</t>
  </si>
  <si>
    <t>CPU / float32</t>
  </si>
  <si>
    <t>Software</t>
  </si>
  <si>
    <t>numpy 2.5.3, torch 2.14.0+cpu, scikit-learn 1.9.1</t>
  </si>
  <si>
    <t>CPU threads</t>
  </si>
  <si>
    <t>1 per run</t>
  </si>
  <si>
    <t>DFS Baseline — Parameters (dfs_baseline.py)</t>
  </si>
  <si>
    <t>Swept: 0 to 0.03, step 0.0002 (151 values)</t>
  </si>
  <si>
    <t>151</t>
  </si>
  <si>
    <t>42, 123, 2026 (change initialization and batch order only)</t>
  </si>
  <si>
    <t>453 (151 × 3)</t>
  </si>
  <si>
    <t>experiments/dfs_baseline/</t>
  </si>
  <si>
    <t>DFS Baseline — Layer Structure</t>
  </si>
  <si>
    <t>Layer</t>
  </si>
  <si>
    <t>Type</t>
  </si>
  <si>
    <t>Input dim</t>
  </si>
  <si>
    <t>Output dim</t>
  </si>
  <si>
    <t>Activation</t>
  </si>
  <si>
    <t>Parameters</t>
  </si>
  <si>
    <t>Regularization</t>
  </si>
  <si>
    <t>One-to-one multipliers (x ⊙ w)</t>
  </si>
  <si>
    <t>None</t>
  </si>
  <si>
    <t>w = 1</t>
  </si>
  <si>
    <t>λ · Σ|w| (swept)</t>
  </si>
  <si>
    <t>Hidden 1</t>
  </si>
  <si>
    <t>Fully connected</t>
  </si>
  <si>
    <t>Xavier uniform, bias 0</t>
  </si>
  <si>
    <t>α1 · Σ|W| (weights only)</t>
  </si>
  <si>
    <t>Hidden 2</t>
  </si>
  <si>
    <t>Fully connected (logits)</t>
  </si>
  <si>
    <t>None (softmax in CE)</t>
  </si>
  <si>
    <t>Weights 0, bias 0</t>
  </si>
  <si>
    <t>Total</t>
  </si>
  <si>
    <t>α1 = 0.0001, α2 = 1 (L1), following the DECRES code.</t>
  </si>
  <si>
    <t>DFS Baseline Simple — Results by λ (seed 42, best checkpoint)</t>
  </si>
  <si>
    <t>λ</t>
  </si>
  <si>
    <t>Stopped epoch</t>
  </si>
  <si>
    <t>Stop reason</t>
  </si>
  <si>
    <t>Best epoch</t>
  </si>
  <si>
    <t>Val accuracy</t>
  </si>
  <si>
    <t>Test accuracy</t>
  </si>
  <si>
    <t>Val balanced acc</t>
  </si>
  <si>
    <t>Test balanced acc</t>
  </si>
  <si>
    <t>Test worst-class recall</t>
  </si>
  <si>
    <t>Selected features (0.001·max|w|)</t>
  </si>
  <si>
    <t>Features |w| &gt; 0.01</t>
  </si>
  <si>
    <t>Selection threshold</t>
  </si>
  <si>
    <t>max |w|</t>
  </si>
  <si>
    <t>Training time (s)</t>
  </si>
  <si>
    <t>patience</t>
  </si>
  <si>
    <t>no_improvement</t>
  </si>
  <si>
    <t>Balanced accuracy = mean of the 7 per-class recalls; worst-class recall = minimum.</t>
  </si>
  <si>
    <t>Yellow: the 0.001·max|w| rule disagrees with |w| &gt; 0.01. For λ ≥ 0.012 all weights shrink, so the relative threshold (~0.0005) falls below the SGD noise on zeroed weights (~0.1·λ) and noise is counted as selected.</t>
  </si>
  <si>
    <t>Most runs stop by the patience rule at epoch ~71: patience = 5000 iterations is only ~71 epochs here (70 batches/epoch), versus ~238 epochs in DECRES (21 batches/epoch). The first LR decay (epoch 100) is often never reached.</t>
  </si>
  <si>
    <t>Single seed (42): differences of about 0.005 in accuracy are within seed-to-seed noise.</t>
  </si>
  <si>
    <t>DFS Baseline Simple — Per-Class Recall by λ (seed 42, best checkpoint)</t>
  </si>
  <si>
    <t>Test recall</t>
  </si>
  <si>
    <t>A-E</t>
  </si>
  <si>
    <t>A-P</t>
  </si>
  <si>
    <t>A-X</t>
  </si>
  <si>
    <t>I-E</t>
  </si>
  <si>
    <t>I-P</t>
  </si>
  <si>
    <t>I-X</t>
  </si>
  <si>
    <t>UK</t>
  </si>
  <si>
    <t>Mean (balanced acc)</t>
  </si>
  <si>
    <t>Worst class</t>
  </si>
  <si>
    <t>Validation recall</t>
  </si>
  <si>
    <t>Test-Set Confusion Matrices (rows = true class, columns = predicted), seed 42</t>
  </si>
  <si>
    <t>λ = 0.000   (best epoch 62, stopped 71, test acc 0.6744, 102 features |w| &gt; 0.01)</t>
  </si>
  <si>
    <t>True \ Pred</t>
  </si>
  <si>
    <t>Recall</t>
  </si>
  <si>
    <t>λ = 0.001   (best epoch 51, stopped 71, test acc 0.6685, 102 features |w| &gt; 0.01)</t>
  </si>
  <si>
    <t>λ = 0.002   (best epoch 51, stopped 101, test acc 0.6636, 102 features |w| &gt; 0.01)</t>
  </si>
  <si>
    <t>λ = 0.003   (best epoch 34, stopped 71, test acc 0.6566, 102 features |w| &gt; 0.01)</t>
  </si>
  <si>
    <t>λ = 0.004   (best epoch 55, stopped 71, test acc 0.6559, 51 features |w| &gt; 0.01)</t>
  </si>
  <si>
    <t>λ = 0.005   (best epoch 79, stopped 93, test acc 0.6511, 38 features |w| &gt; 0.01)</t>
  </si>
  <si>
    <t>λ = 0.006   (best epoch 187, stopped 201, test acc 0.6576, 32 features |w| &gt; 0.01)</t>
  </si>
  <si>
    <t>λ = 0.007   (best epoch 127, stopped 167, test acc 0.6520, 28 features |w| &gt; 0.01)</t>
  </si>
  <si>
    <t>λ = 0.008   (best epoch 306, stopped 313, test acc 0.6522, 25 features |w| &gt; 0.01)</t>
  </si>
  <si>
    <t>λ = 0.009   (best epoch 157, stopped 167, test acc 0.6478, 24 features |w| &gt; 0.01)</t>
  </si>
  <si>
    <t>λ = 0.010   (best epoch 341, stopped 367, test acc 0.6493, 23 features |w| &gt; 0.01)</t>
  </si>
  <si>
    <t>λ = 0.011   (best epoch 174, stopped 177, test acc 0.6457, 20 features |w| &gt; 0.01)</t>
  </si>
  <si>
    <t>λ = 0.012   (best epoch 107, stopped 117, test acc 0.6147, 18 features |w| &gt; 0.01)</t>
  </si>
  <si>
    <t>λ = 0.013   (best epoch 71, stopped 105, test acc 0.6072, 16 features |w| &gt; 0.01)</t>
  </si>
  <si>
    <t>λ = 0.014   (best epoch 193, stopped 318, test acc 0.6082, 15 features |w| &gt; 0.01)</t>
  </si>
  <si>
    <t>λ = 0.015   (best epoch 193, stopped 267, test acc 0.6068, 15 features |w| &gt; 0.01)</t>
  </si>
  <si>
    <t>λ = 0.016   (best epoch 69, stopped 105, test acc 0.6063, 13 features |w| &gt; 0.01)</t>
  </si>
  <si>
    <t>λ = 0.017   (best epoch 53, stopped 105, test acc 0.5999, 13 features |w| &gt; 0.01)</t>
  </si>
  <si>
    <t>λ = 0.018   (best epoch 69, stopped 79, test acc 0.5917, 11 features |w| &gt; 0.01)</t>
  </si>
  <si>
    <t>λ = 0.019   (best epoch 148, stopped 167, test acc 0.5829, 9 features |w| &gt; 0.01)</t>
  </si>
  <si>
    <t>λ = 0.020   (best epoch 120, stopped 123, test acc 0.5628, 7 features |w| &gt; 0.01)</t>
  </si>
  <si>
    <t>λ = 0.021   (best epoch 127, stopped 137, test acc 0.5631, 7 features |w| &gt; 0.01)</t>
  </si>
  <si>
    <t>λ = 0.022   (best epoch 115, stopped 123, test acc 0.5605, 7 features |w| &gt; 0.01)</t>
  </si>
  <si>
    <t>λ = 0.023   (best epoch 115, stopped 123, test acc 0.5596, 7 features |w| &gt; 0.01)</t>
  </si>
  <si>
    <t>λ = 0.024   (best epoch 202, stopped 229, test acc 0.5618, 7 features |w| &gt; 0.01)</t>
  </si>
  <si>
    <t>λ = 0.025   (best epoch 115, stopped 123, test acc 0.5579, 7 features |w| &gt; 0.01)</t>
  </si>
  <si>
    <t>λ = 0.026   (best epoch 106, stopped 123, test acc 0.5542, 7 features |w| &gt; 0.01)</t>
  </si>
  <si>
    <t>λ = 0.027   (best epoch 69, stopped 77, test acc 0.5533, 7 features |w| &gt; 0.01)</t>
  </si>
  <si>
    <t>λ = 0.028   (best epoch 93, stopped 123, test acc 0.5509, 7 features |w| &gt; 0.01)</t>
  </si>
  <si>
    <t>λ = 0.029   (best epoch 53, stopped 71, test acc 0.5447, 6 features |w| &gt; 0.01)</t>
  </si>
  <si>
    <t>λ = 0.030   (best epoch 53, stopped 71, test acc 0.5455, 6 features |w| &gt; 0.01)</t>
  </si>
  <si>
    <t>Input-Layer Feature Weights by λ (seed 42, best checkpoint)</t>
  </si>
  <si>
    <t>Feature index</t>
  </si>
  <si>
    <t>λ=0.000</t>
  </si>
  <si>
    <t>λ=0.001</t>
  </si>
  <si>
    <t>λ=0.002</t>
  </si>
  <si>
    <t>λ=0.003</t>
  </si>
  <si>
    <t>λ=0.004</t>
  </si>
  <si>
    <t>λ=0.005</t>
  </si>
  <si>
    <t>λ=0.006</t>
  </si>
  <si>
    <t>λ=0.007</t>
  </si>
  <si>
    <t>λ=0.008</t>
  </si>
  <si>
    <t>λ=0.009</t>
  </si>
  <si>
    <t>λ=0.010</t>
  </si>
  <si>
    <t>λ=0.011</t>
  </si>
  <si>
    <t>λ=0.012</t>
  </si>
  <si>
    <t>λ=0.013</t>
  </si>
  <si>
    <t>λ=0.014</t>
  </si>
  <si>
    <t>λ=0.015</t>
  </si>
  <si>
    <t>λ=0.016</t>
  </si>
  <si>
    <t>λ=0.017</t>
  </si>
  <si>
    <t>λ=0.018</t>
  </si>
  <si>
    <t>λ=0.019</t>
  </si>
  <si>
    <t>λ=0.020</t>
  </si>
  <si>
    <t>λ=0.021</t>
  </si>
  <si>
    <t>λ=0.022</t>
  </si>
  <si>
    <t>λ=0.023</t>
  </si>
  <si>
    <t>λ=0.024</t>
  </si>
  <si>
    <t>λ=0.025</t>
  </si>
  <si>
    <t>λ=0.026</t>
  </si>
  <si>
    <t>λ=0.027</t>
  </si>
  <si>
    <t>λ=0.028</t>
  </si>
  <si>
    <t>λ=0.029</t>
  </si>
  <si>
    <t>λ=0.030</t>
  </si>
  <si>
    <t>Times |w| &gt; 0.01 (of 31)</t>
  </si>
  <si>
    <t>Largest λ with |w| &gt; 0.01</t>
  </si>
  <si>
    <t>Importance rank</t>
  </si>
  <si>
    <t>Green: |w| &gt; 0.01. Importance rank: features that stay above 0.01 up to a larger λ rank higher (like the regularization-path heatmap in the paper, Fig.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</si>
</sst>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"/>
    <numFmt numFmtId="167" formatCode="0.0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color rgb="FF595959"/>
      <name val="Calibri"/>
      <family val="2"/>
    </font>
    <font>
      <b/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F00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5" fillId="0" borderId="0" xfId="0" applyFont="1"/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/>
    <xf numFmtId="3" fontId="7" fillId="0" borderId="2" xfId="0" applyNumberFormat="1" applyFont="1" applyBorder="1"/>
    <xf numFmtId="0" fontId="8" fillId="5" borderId="2" xfId="0" applyFont="1" applyFill="1" applyBorder="1"/>
    <xf numFmtId="0" fontId="7" fillId="5" borderId="2" xfId="0" applyFont="1" applyFill="1" applyBorder="1"/>
    <xf numFmtId="3" fontId="8" fillId="5" borderId="2" xfId="0" applyNumberFormat="1" applyFont="1" applyFill="1" applyBorder="1"/>
    <xf numFmtId="0" fontId="9" fillId="0" borderId="0" xfId="0" applyFont="1"/>
    <xf numFmtId="164" fontId="7" fillId="0" borderId="2" xfId="0" applyNumberFormat="1" applyFont="1" applyBorder="1"/>
    <xf numFmtId="1" fontId="7" fillId="0" borderId="2" xfId="0" applyNumberFormat="1" applyFont="1" applyBorder="1"/>
    <xf numFmtId="165" fontId="7" fillId="0" borderId="2" xfId="0" applyNumberFormat="1" applyFont="1" applyBorder="1"/>
    <xf numFmtId="166" fontId="7" fillId="0" borderId="2" xfId="0" applyNumberFormat="1" applyFont="1" applyBorder="1"/>
    <xf numFmtId="167" fontId="7" fillId="0" borderId="2" xfId="0" applyNumberFormat="1" applyFont="1" applyBorder="1"/>
    <xf numFmtId="1" fontId="7" fillId="6" borderId="2" xfId="0" applyNumberFormat="1" applyFont="1" applyFill="1" applyBorder="1"/>
    <xf numFmtId="0" fontId="10" fillId="0" borderId="0" xfId="0" applyFont="1"/>
    <xf numFmtId="164" fontId="8" fillId="0" borderId="2" xfId="0" applyNumberFormat="1" applyFont="1" applyBorder="1"/>
    <xf numFmtId="164" fontId="8" fillId="5" borderId="2" xfId="0" applyNumberFormat="1" applyFont="1" applyFill="1" applyBorder="1"/>
    <xf numFmtId="164" fontId="7" fillId="5" borderId="2" xfId="0" applyNumberFormat="1" applyFont="1" applyFill="1" applyBorder="1"/>
    <xf numFmtId="0" fontId="8" fillId="0" borderId="0" xfId="0" applyFont="1"/>
    <xf numFmtId="0" fontId="8" fillId="0" borderId="2" xfId="0" applyFont="1" applyBorder="1"/>
    <xf numFmtId="3" fontId="8" fillId="7" borderId="2" xfId="0" applyNumberFormat="1" applyFont="1" applyFill="1" applyBorder="1"/>
    <xf numFmtId="0" fontId="4" fillId="8" borderId="1" xfId="0" applyFont="1" applyFill="1" applyBorder="1"/>
    <xf numFmtId="0" fontId="4" fillId="8" borderId="1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Test accuracy vs number of selected features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|w| &gt; 0.01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2F5496"/>
              </a:solidFill>
              <a:ln>
                <a:solidFill>
                  <a:srgbClr val="2F5496"/>
                </a:solidFill>
                <a:prstDash val="solid"/>
              </a:ln>
            </c:spPr>
          </c:marker>
          <c:xVal>
            <c:numRef>
              <c:f>'Simple Results by Lambda'!$K$4:$K$34</c:f>
              <c:numCache>
                <c:formatCode>0</c:formatCode>
                <c:ptCount val="31"/>
                <c:pt idx="0">
                  <c:v>102</c:v>
                </c:pt>
                <c:pt idx="1">
                  <c:v>102</c:v>
                </c:pt>
                <c:pt idx="2">
                  <c:v>102</c:v>
                </c:pt>
                <c:pt idx="3">
                  <c:v>102</c:v>
                </c:pt>
                <c:pt idx="4">
                  <c:v>51</c:v>
                </c:pt>
                <c:pt idx="5">
                  <c:v>38</c:v>
                </c:pt>
                <c:pt idx="6">
                  <c:v>32</c:v>
                </c:pt>
                <c:pt idx="7">
                  <c:v>28</c:v>
                </c:pt>
                <c:pt idx="8">
                  <c:v>25</c:v>
                </c:pt>
                <c:pt idx="9">
                  <c:v>24</c:v>
                </c:pt>
                <c:pt idx="10">
                  <c:v>23</c:v>
                </c:pt>
                <c:pt idx="11">
                  <c:v>20</c:v>
                </c:pt>
                <c:pt idx="12">
                  <c:v>18</c:v>
                </c:pt>
                <c:pt idx="13">
                  <c:v>16</c:v>
                </c:pt>
                <c:pt idx="14">
                  <c:v>15</c:v>
                </c:pt>
                <c:pt idx="15">
                  <c:v>15</c:v>
                </c:pt>
                <c:pt idx="16">
                  <c:v>13</c:v>
                </c:pt>
                <c:pt idx="17">
                  <c:v>13</c:v>
                </c:pt>
                <c:pt idx="18">
                  <c:v>11</c:v>
                </c:pt>
                <c:pt idx="19">
                  <c:v>9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6</c:v>
                </c:pt>
                <c:pt idx="30">
                  <c:v>6</c:v>
                </c:pt>
              </c:numCache>
            </c:numRef>
          </c:xVal>
          <c:yVal>
            <c:numRef>
              <c:f>'Simple Results by Lambda'!$F$4:$F$34</c:f>
              <c:numCache>
                <c:formatCode>0.0000</c:formatCode>
                <c:ptCount val="31"/>
                <c:pt idx="0">
                  <c:v>0.67442528700000004</c:v>
                </c:pt>
                <c:pt idx="1">
                  <c:v>0.66853448299999996</c:v>
                </c:pt>
                <c:pt idx="2">
                  <c:v>0.66364942500000002</c:v>
                </c:pt>
                <c:pt idx="3">
                  <c:v>0.65660919500000003</c:v>
                </c:pt>
                <c:pt idx="4">
                  <c:v>0.65589080499999997</c:v>
                </c:pt>
                <c:pt idx="5">
                  <c:v>0.65114942499999995</c:v>
                </c:pt>
                <c:pt idx="6">
                  <c:v>0.65761494300000001</c:v>
                </c:pt>
                <c:pt idx="7">
                  <c:v>0.65201149400000002</c:v>
                </c:pt>
                <c:pt idx="8">
                  <c:v>0.65215517199999995</c:v>
                </c:pt>
                <c:pt idx="9">
                  <c:v>0.64784482799999998</c:v>
                </c:pt>
                <c:pt idx="10">
                  <c:v>0.64928160899999998</c:v>
                </c:pt>
                <c:pt idx="11">
                  <c:v>0.64568965499999997</c:v>
                </c:pt>
                <c:pt idx="12">
                  <c:v>0.61465517199999997</c:v>
                </c:pt>
                <c:pt idx="13">
                  <c:v>0.60718390799999999</c:v>
                </c:pt>
                <c:pt idx="14">
                  <c:v>0.608189655</c:v>
                </c:pt>
                <c:pt idx="15">
                  <c:v>0.606752874</c:v>
                </c:pt>
                <c:pt idx="16">
                  <c:v>0.60632183900000003</c:v>
                </c:pt>
                <c:pt idx="17">
                  <c:v>0.59985632200000005</c:v>
                </c:pt>
                <c:pt idx="18">
                  <c:v>0.59166666700000003</c:v>
                </c:pt>
                <c:pt idx="19">
                  <c:v>0.58290229900000001</c:v>
                </c:pt>
                <c:pt idx="20">
                  <c:v>0.56278735599999996</c:v>
                </c:pt>
                <c:pt idx="21">
                  <c:v>0.563074713</c:v>
                </c:pt>
                <c:pt idx="22">
                  <c:v>0.560488506</c:v>
                </c:pt>
                <c:pt idx="23">
                  <c:v>0.55962643700000003</c:v>
                </c:pt>
                <c:pt idx="24">
                  <c:v>0.56178160899999996</c:v>
                </c:pt>
                <c:pt idx="25">
                  <c:v>0.55790229899999999</c:v>
                </c:pt>
                <c:pt idx="26">
                  <c:v>0.55416666699999995</c:v>
                </c:pt>
                <c:pt idx="27">
                  <c:v>0.55330459799999998</c:v>
                </c:pt>
                <c:pt idx="28">
                  <c:v>0.55086206900000001</c:v>
                </c:pt>
                <c:pt idx="29">
                  <c:v>0.54468390799999999</c:v>
                </c:pt>
                <c:pt idx="30">
                  <c:v>0.54554597699999996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B3-44CE-B50A-0B29A11B5B8C}"/>
            </c:ext>
          </c:extLst>
        </c:ser>
        <c:ser>
          <c:idx val="1"/>
          <c:order val="1"/>
          <c:tx>
            <c:v>0.001·max|w| rule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'Simple Results by Lambda'!$J$4:$J$34</c:f>
              <c:numCache>
                <c:formatCode>0</c:formatCode>
                <c:ptCount val="31"/>
                <c:pt idx="0">
                  <c:v>102</c:v>
                </c:pt>
                <c:pt idx="1">
                  <c:v>102</c:v>
                </c:pt>
                <c:pt idx="2">
                  <c:v>102</c:v>
                </c:pt>
                <c:pt idx="3">
                  <c:v>102</c:v>
                </c:pt>
                <c:pt idx="4">
                  <c:v>58</c:v>
                </c:pt>
                <c:pt idx="5">
                  <c:v>45</c:v>
                </c:pt>
                <c:pt idx="6">
                  <c:v>32</c:v>
                </c:pt>
                <c:pt idx="7">
                  <c:v>31</c:v>
                </c:pt>
                <c:pt idx="8">
                  <c:v>25</c:v>
                </c:pt>
                <c:pt idx="9">
                  <c:v>26</c:v>
                </c:pt>
                <c:pt idx="10">
                  <c:v>23</c:v>
                </c:pt>
                <c:pt idx="11">
                  <c:v>28</c:v>
                </c:pt>
                <c:pt idx="12">
                  <c:v>57</c:v>
                </c:pt>
                <c:pt idx="13">
                  <c:v>67</c:v>
                </c:pt>
                <c:pt idx="14">
                  <c:v>56</c:v>
                </c:pt>
                <c:pt idx="15">
                  <c:v>67</c:v>
                </c:pt>
                <c:pt idx="16">
                  <c:v>64</c:v>
                </c:pt>
                <c:pt idx="17">
                  <c:v>67</c:v>
                </c:pt>
                <c:pt idx="18">
                  <c:v>60</c:v>
                </c:pt>
                <c:pt idx="19">
                  <c:v>67</c:v>
                </c:pt>
                <c:pt idx="20">
                  <c:v>64</c:v>
                </c:pt>
                <c:pt idx="21">
                  <c:v>66</c:v>
                </c:pt>
                <c:pt idx="22">
                  <c:v>66</c:v>
                </c:pt>
                <c:pt idx="23">
                  <c:v>74</c:v>
                </c:pt>
                <c:pt idx="24">
                  <c:v>73</c:v>
                </c:pt>
                <c:pt idx="25">
                  <c:v>72</c:v>
                </c:pt>
                <c:pt idx="26">
                  <c:v>75</c:v>
                </c:pt>
                <c:pt idx="27">
                  <c:v>80</c:v>
                </c:pt>
                <c:pt idx="28">
                  <c:v>80</c:v>
                </c:pt>
                <c:pt idx="29">
                  <c:v>86</c:v>
                </c:pt>
                <c:pt idx="30">
                  <c:v>92</c:v>
                </c:pt>
              </c:numCache>
            </c:numRef>
          </c:xVal>
          <c:yVal>
            <c:numRef>
              <c:f>'Simple Results by Lambda'!$F$4:$F$34</c:f>
              <c:numCache>
                <c:formatCode>0.0000</c:formatCode>
                <c:ptCount val="31"/>
                <c:pt idx="0">
                  <c:v>0.67442528700000004</c:v>
                </c:pt>
                <c:pt idx="1">
                  <c:v>0.66853448299999996</c:v>
                </c:pt>
                <c:pt idx="2">
                  <c:v>0.66364942500000002</c:v>
                </c:pt>
                <c:pt idx="3">
                  <c:v>0.65660919500000003</c:v>
                </c:pt>
                <c:pt idx="4">
                  <c:v>0.65589080499999997</c:v>
                </c:pt>
                <c:pt idx="5">
                  <c:v>0.65114942499999995</c:v>
                </c:pt>
                <c:pt idx="6">
                  <c:v>0.65761494300000001</c:v>
                </c:pt>
                <c:pt idx="7">
                  <c:v>0.65201149400000002</c:v>
                </c:pt>
                <c:pt idx="8">
                  <c:v>0.65215517199999995</c:v>
                </c:pt>
                <c:pt idx="9">
                  <c:v>0.64784482799999998</c:v>
                </c:pt>
                <c:pt idx="10">
                  <c:v>0.64928160899999998</c:v>
                </c:pt>
                <c:pt idx="11">
                  <c:v>0.64568965499999997</c:v>
                </c:pt>
                <c:pt idx="12">
                  <c:v>0.61465517199999997</c:v>
                </c:pt>
                <c:pt idx="13">
                  <c:v>0.60718390799999999</c:v>
                </c:pt>
                <c:pt idx="14">
                  <c:v>0.608189655</c:v>
                </c:pt>
                <c:pt idx="15">
                  <c:v>0.606752874</c:v>
                </c:pt>
                <c:pt idx="16">
                  <c:v>0.60632183900000003</c:v>
                </c:pt>
                <c:pt idx="17">
                  <c:v>0.59985632200000005</c:v>
                </c:pt>
                <c:pt idx="18">
                  <c:v>0.59166666700000003</c:v>
                </c:pt>
                <c:pt idx="19">
                  <c:v>0.58290229900000001</c:v>
                </c:pt>
                <c:pt idx="20">
                  <c:v>0.56278735599999996</c:v>
                </c:pt>
                <c:pt idx="21">
                  <c:v>0.563074713</c:v>
                </c:pt>
                <c:pt idx="22">
                  <c:v>0.560488506</c:v>
                </c:pt>
                <c:pt idx="23">
                  <c:v>0.55962643700000003</c:v>
                </c:pt>
                <c:pt idx="24">
                  <c:v>0.56178160899999996</c:v>
                </c:pt>
                <c:pt idx="25">
                  <c:v>0.55790229899999999</c:v>
                </c:pt>
                <c:pt idx="26">
                  <c:v>0.55416666699999995</c:v>
                </c:pt>
                <c:pt idx="27">
                  <c:v>0.55330459799999998</c:v>
                </c:pt>
                <c:pt idx="28">
                  <c:v>0.55086206900000001</c:v>
                </c:pt>
                <c:pt idx="29">
                  <c:v>0.54468390799999999</c:v>
                </c:pt>
                <c:pt idx="30">
                  <c:v>0.54554597699999996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B3-44CE-B50A-0B29A11B5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Selected features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7"/>
          <c:min val="0.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Test accuracy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workbookViewId="0">
      <pane ySplit="3" topLeftCell="A4" activePane="bottomLeft" state="frozen"/>
      <selection pane="bottomLeft" activeCell="B54" sqref="B54"/>
    </sheetView>
  </sheetViews>
  <sheetFormatPr defaultRowHeight="14.5" x14ac:dyDescent="0.35"/>
  <cols>
    <col min="1" max="1" width="20" customWidth="1"/>
    <col min="2" max="2" width="32" customWidth="1"/>
    <col min="3" max="3" width="95" customWidth="1"/>
  </cols>
  <sheetData>
    <row r="1" spans="1:3" ht="18.5" customHeight="1" x14ac:dyDescent="0.45">
      <c r="A1" s="1" t="s">
        <v>97</v>
      </c>
    </row>
    <row r="3" spans="1:3" x14ac:dyDescent="0.35">
      <c r="A3" s="2" t="s">
        <v>1</v>
      </c>
      <c r="B3" s="2" t="s">
        <v>2</v>
      </c>
      <c r="C3" s="2" t="s">
        <v>3</v>
      </c>
    </row>
    <row r="4" spans="1:3" x14ac:dyDescent="0.35">
      <c r="A4" s="3" t="s">
        <v>4</v>
      </c>
      <c r="B4" s="4" t="s">
        <v>5</v>
      </c>
      <c r="C4" s="5" t="s">
        <v>6</v>
      </c>
    </row>
    <row r="5" spans="1:3" x14ac:dyDescent="0.35">
      <c r="A5" s="3"/>
      <c r="B5" s="4" t="s">
        <v>7</v>
      </c>
      <c r="C5" s="5" t="s">
        <v>8</v>
      </c>
    </row>
    <row r="6" spans="1:3" x14ac:dyDescent="0.35">
      <c r="A6" s="3"/>
      <c r="B6" s="4" t="s">
        <v>9</v>
      </c>
      <c r="C6" s="5" t="s">
        <v>10</v>
      </c>
    </row>
    <row r="7" spans="1:3" x14ac:dyDescent="0.35">
      <c r="A7" s="3"/>
      <c r="B7" s="4" t="s">
        <v>11</v>
      </c>
      <c r="C7" s="5" t="s">
        <v>12</v>
      </c>
    </row>
    <row r="8" spans="1:3" x14ac:dyDescent="0.35">
      <c r="A8" s="3"/>
      <c r="B8" s="4" t="s">
        <v>13</v>
      </c>
      <c r="C8" s="5" t="s">
        <v>14</v>
      </c>
    </row>
    <row r="9" spans="1:3" x14ac:dyDescent="0.35">
      <c r="A9" s="3"/>
      <c r="B9" s="4" t="s">
        <v>15</v>
      </c>
      <c r="C9" s="5" t="s">
        <v>16</v>
      </c>
    </row>
    <row r="10" spans="1:3" x14ac:dyDescent="0.35">
      <c r="A10" s="3"/>
      <c r="B10" s="4" t="s">
        <v>17</v>
      </c>
      <c r="C10" s="5" t="s">
        <v>18</v>
      </c>
    </row>
    <row r="11" spans="1:3" x14ac:dyDescent="0.35">
      <c r="A11" s="3" t="s">
        <v>19</v>
      </c>
      <c r="B11" s="4" t="s">
        <v>20</v>
      </c>
      <c r="C11" s="5" t="s">
        <v>21</v>
      </c>
    </row>
    <row r="12" spans="1:3" x14ac:dyDescent="0.35">
      <c r="A12" s="3"/>
      <c r="B12" s="4" t="s">
        <v>22</v>
      </c>
      <c r="C12" s="5" t="s">
        <v>23</v>
      </c>
    </row>
    <row r="13" spans="1:3" x14ac:dyDescent="0.35">
      <c r="A13" s="3" t="s">
        <v>24</v>
      </c>
      <c r="B13" s="4" t="s">
        <v>25</v>
      </c>
      <c r="C13" s="5" t="s">
        <v>26</v>
      </c>
    </row>
    <row r="14" spans="1:3" x14ac:dyDescent="0.35">
      <c r="A14" s="3"/>
      <c r="B14" s="4" t="s">
        <v>27</v>
      </c>
      <c r="C14" s="5" t="s">
        <v>28</v>
      </c>
    </row>
    <row r="15" spans="1:3" x14ac:dyDescent="0.35">
      <c r="A15" s="3"/>
      <c r="B15" s="4" t="s">
        <v>29</v>
      </c>
      <c r="C15" s="5" t="s">
        <v>30</v>
      </c>
    </row>
    <row r="16" spans="1:3" x14ac:dyDescent="0.35">
      <c r="A16" s="3"/>
      <c r="B16" s="4" t="s">
        <v>31</v>
      </c>
      <c r="C16" s="5" t="s">
        <v>32</v>
      </c>
    </row>
    <row r="17" spans="1:3" x14ac:dyDescent="0.35">
      <c r="A17" s="3"/>
      <c r="B17" s="4" t="s">
        <v>33</v>
      </c>
      <c r="C17" s="5" t="s">
        <v>34</v>
      </c>
    </row>
    <row r="18" spans="1:3" x14ac:dyDescent="0.35">
      <c r="A18" s="3"/>
      <c r="B18" s="4" t="s">
        <v>35</v>
      </c>
      <c r="C18" s="5" t="s">
        <v>36</v>
      </c>
    </row>
    <row r="19" spans="1:3" x14ac:dyDescent="0.35">
      <c r="A19" s="3" t="s">
        <v>37</v>
      </c>
      <c r="B19" s="4" t="s">
        <v>38</v>
      </c>
      <c r="C19" s="5" t="s">
        <v>39</v>
      </c>
    </row>
    <row r="20" spans="1:3" x14ac:dyDescent="0.35">
      <c r="A20" s="3"/>
      <c r="B20" s="4" t="s">
        <v>40</v>
      </c>
      <c r="C20" s="5" t="s">
        <v>41</v>
      </c>
    </row>
    <row r="21" spans="1:3" x14ac:dyDescent="0.35">
      <c r="A21" s="3"/>
      <c r="B21" s="6" t="s">
        <v>42</v>
      </c>
      <c r="C21" s="7" t="s">
        <v>98</v>
      </c>
    </row>
    <row r="22" spans="1:3" x14ac:dyDescent="0.35">
      <c r="A22" s="3"/>
      <c r="B22" s="4" t="s">
        <v>44</v>
      </c>
      <c r="C22" s="5" t="s">
        <v>45</v>
      </c>
    </row>
    <row r="23" spans="1:3" x14ac:dyDescent="0.35">
      <c r="A23" s="3" t="s">
        <v>46</v>
      </c>
      <c r="B23" s="4" t="s">
        <v>47</v>
      </c>
      <c r="C23" s="5" t="s">
        <v>48</v>
      </c>
    </row>
    <row r="24" spans="1:3" x14ac:dyDescent="0.35">
      <c r="A24" s="3"/>
      <c r="B24" s="4" t="s">
        <v>49</v>
      </c>
      <c r="C24" s="5" t="s">
        <v>50</v>
      </c>
    </row>
    <row r="25" spans="1:3" x14ac:dyDescent="0.35">
      <c r="A25" s="3"/>
      <c r="B25" s="4" t="s">
        <v>51</v>
      </c>
      <c r="C25" s="5" t="s">
        <v>52</v>
      </c>
    </row>
    <row r="26" spans="1:3" x14ac:dyDescent="0.35">
      <c r="A26" s="3"/>
      <c r="B26" s="4" t="s">
        <v>53</v>
      </c>
      <c r="C26" s="5" t="s">
        <v>54</v>
      </c>
    </row>
    <row r="27" spans="1:3" x14ac:dyDescent="0.35">
      <c r="A27" s="3"/>
      <c r="B27" s="4" t="s">
        <v>55</v>
      </c>
      <c r="C27" s="5" t="s">
        <v>56</v>
      </c>
    </row>
    <row r="28" spans="1:3" x14ac:dyDescent="0.35">
      <c r="A28" s="3"/>
      <c r="B28" s="4" t="s">
        <v>57</v>
      </c>
      <c r="C28" s="5" t="s">
        <v>58</v>
      </c>
    </row>
    <row r="29" spans="1:3" x14ac:dyDescent="0.35">
      <c r="A29" s="3"/>
      <c r="B29" s="4" t="s">
        <v>59</v>
      </c>
      <c r="C29" s="5" t="s">
        <v>60</v>
      </c>
    </row>
    <row r="30" spans="1:3" ht="29" customHeight="1" x14ac:dyDescent="0.35">
      <c r="A30" s="3"/>
      <c r="B30" s="4" t="s">
        <v>61</v>
      </c>
      <c r="C30" s="5" t="s">
        <v>62</v>
      </c>
    </row>
    <row r="31" spans="1:3" x14ac:dyDescent="0.35">
      <c r="A31" s="3"/>
      <c r="B31" s="4" t="s">
        <v>63</v>
      </c>
      <c r="C31" s="5" t="s">
        <v>64</v>
      </c>
    </row>
    <row r="32" spans="1:3" x14ac:dyDescent="0.35">
      <c r="A32" s="3"/>
      <c r="B32" s="4" t="s">
        <v>65</v>
      </c>
      <c r="C32" s="5" t="s">
        <v>66</v>
      </c>
    </row>
    <row r="33" spans="1:3" x14ac:dyDescent="0.35">
      <c r="A33" s="3" t="s">
        <v>67</v>
      </c>
      <c r="B33" s="4" t="s">
        <v>68</v>
      </c>
      <c r="C33" s="5" t="s">
        <v>69</v>
      </c>
    </row>
    <row r="34" spans="1:3" x14ac:dyDescent="0.35">
      <c r="A34" s="3" t="s">
        <v>70</v>
      </c>
      <c r="B34" s="4" t="s">
        <v>71</v>
      </c>
      <c r="C34" s="5" t="s">
        <v>72</v>
      </c>
    </row>
    <row r="35" spans="1:3" x14ac:dyDescent="0.35">
      <c r="A35" s="3"/>
      <c r="B35" s="4" t="s">
        <v>73</v>
      </c>
      <c r="C35" s="5" t="s">
        <v>74</v>
      </c>
    </row>
    <row r="36" spans="1:3" x14ac:dyDescent="0.35">
      <c r="A36" s="3" t="s">
        <v>75</v>
      </c>
      <c r="B36" s="6" t="s">
        <v>76</v>
      </c>
      <c r="C36" s="7" t="s">
        <v>99</v>
      </c>
    </row>
    <row r="37" spans="1:3" x14ac:dyDescent="0.35">
      <c r="A37" s="3"/>
      <c r="B37" s="6" t="s">
        <v>78</v>
      </c>
      <c r="C37" s="7" t="s">
        <v>100</v>
      </c>
    </row>
    <row r="38" spans="1:3" x14ac:dyDescent="0.35">
      <c r="A38" s="3"/>
      <c r="B38" s="6" t="s">
        <v>80</v>
      </c>
      <c r="C38" s="7" t="s">
        <v>101</v>
      </c>
    </row>
    <row r="39" spans="1:3" x14ac:dyDescent="0.35">
      <c r="A39" s="3"/>
      <c r="B39" s="4" t="s">
        <v>82</v>
      </c>
      <c r="C39" s="5" t="s">
        <v>83</v>
      </c>
    </row>
    <row r="40" spans="1:3" x14ac:dyDescent="0.35">
      <c r="A40" s="3"/>
      <c r="B40" s="4" t="s">
        <v>84</v>
      </c>
      <c r="C40" s="5" t="s">
        <v>85</v>
      </c>
    </row>
    <row r="41" spans="1:3" x14ac:dyDescent="0.35">
      <c r="A41" s="3"/>
      <c r="B41" s="4" t="s">
        <v>86</v>
      </c>
      <c r="C41" s="5" t="s">
        <v>87</v>
      </c>
    </row>
    <row r="42" spans="1:3" x14ac:dyDescent="0.35">
      <c r="A42" s="3"/>
      <c r="B42" s="6" t="s">
        <v>88</v>
      </c>
      <c r="C42" s="7" t="s">
        <v>102</v>
      </c>
    </row>
    <row r="43" spans="1:3" x14ac:dyDescent="0.35">
      <c r="A43" s="3" t="s">
        <v>90</v>
      </c>
      <c r="B43" s="4" t="s">
        <v>91</v>
      </c>
      <c r="C43" s="5" t="s">
        <v>92</v>
      </c>
    </row>
    <row r="44" spans="1:3" x14ac:dyDescent="0.35">
      <c r="A44" s="3"/>
      <c r="B44" s="4" t="s">
        <v>93</v>
      </c>
      <c r="C44" s="5" t="s">
        <v>94</v>
      </c>
    </row>
    <row r="45" spans="1:3" x14ac:dyDescent="0.35">
      <c r="A45" s="3"/>
      <c r="B45" s="4" t="s">
        <v>95</v>
      </c>
      <c r="C45" s="5" t="s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tabSelected="1" workbookViewId="0">
      <pane ySplit="3" topLeftCell="A4" activePane="bottomLeft" state="frozen"/>
      <selection pane="bottomLeft" activeCell="C49" sqref="C49"/>
    </sheetView>
  </sheetViews>
  <sheetFormatPr defaultRowHeight="14.5" x14ac:dyDescent="0.35"/>
  <cols>
    <col min="1" max="1" width="20" customWidth="1"/>
    <col min="2" max="2" width="32" customWidth="1"/>
    <col min="3" max="3" width="95" customWidth="1"/>
  </cols>
  <sheetData>
    <row r="1" spans="1:3" ht="18.5" customHeight="1" x14ac:dyDescent="0.45">
      <c r="A1" s="1" t="s">
        <v>0</v>
      </c>
    </row>
    <row r="3" spans="1:3" x14ac:dyDescent="0.35">
      <c r="A3" s="2" t="s">
        <v>1</v>
      </c>
      <c r="B3" s="2" t="s">
        <v>2</v>
      </c>
      <c r="C3" s="2" t="s">
        <v>3</v>
      </c>
    </row>
    <row r="4" spans="1:3" x14ac:dyDescent="0.35">
      <c r="A4" s="3" t="s">
        <v>4</v>
      </c>
      <c r="B4" s="4" t="s">
        <v>5</v>
      </c>
      <c r="C4" s="5" t="s">
        <v>6</v>
      </c>
    </row>
    <row r="5" spans="1:3" x14ac:dyDescent="0.35">
      <c r="A5" s="3"/>
      <c r="B5" s="4" t="s">
        <v>7</v>
      </c>
      <c r="C5" s="5" t="s">
        <v>8</v>
      </c>
    </row>
    <row r="6" spans="1:3" x14ac:dyDescent="0.35">
      <c r="A6" s="3"/>
      <c r="B6" s="4" t="s">
        <v>9</v>
      </c>
      <c r="C6" s="5" t="s">
        <v>10</v>
      </c>
    </row>
    <row r="7" spans="1:3" x14ac:dyDescent="0.35">
      <c r="A7" s="3"/>
      <c r="B7" s="4" t="s">
        <v>11</v>
      </c>
      <c r="C7" s="5" t="s">
        <v>12</v>
      </c>
    </row>
    <row r="8" spans="1:3" x14ac:dyDescent="0.35">
      <c r="A8" s="3"/>
      <c r="B8" s="4" t="s">
        <v>13</v>
      </c>
      <c r="C8" s="5" t="s">
        <v>14</v>
      </c>
    </row>
    <row r="9" spans="1:3" x14ac:dyDescent="0.35">
      <c r="A9" s="3"/>
      <c r="B9" s="4" t="s">
        <v>15</v>
      </c>
      <c r="C9" s="5" t="s">
        <v>16</v>
      </c>
    </row>
    <row r="10" spans="1:3" x14ac:dyDescent="0.35">
      <c r="A10" s="3"/>
      <c r="B10" s="4" t="s">
        <v>17</v>
      </c>
      <c r="C10" s="5" t="s">
        <v>18</v>
      </c>
    </row>
    <row r="11" spans="1:3" x14ac:dyDescent="0.35">
      <c r="A11" s="3" t="s">
        <v>19</v>
      </c>
      <c r="B11" s="4" t="s">
        <v>20</v>
      </c>
      <c r="C11" s="5" t="s">
        <v>21</v>
      </c>
    </row>
    <row r="12" spans="1:3" x14ac:dyDescent="0.35">
      <c r="A12" s="3"/>
      <c r="B12" s="4" t="s">
        <v>22</v>
      </c>
      <c r="C12" s="5" t="s">
        <v>23</v>
      </c>
    </row>
    <row r="13" spans="1:3" x14ac:dyDescent="0.35">
      <c r="A13" s="3" t="s">
        <v>24</v>
      </c>
      <c r="B13" s="4" t="s">
        <v>25</v>
      </c>
      <c r="C13" s="5" t="s">
        <v>26</v>
      </c>
    </row>
    <row r="14" spans="1:3" x14ac:dyDescent="0.35">
      <c r="A14" s="3"/>
      <c r="B14" s="4" t="s">
        <v>27</v>
      </c>
      <c r="C14" s="5" t="s">
        <v>28</v>
      </c>
    </row>
    <row r="15" spans="1:3" x14ac:dyDescent="0.35">
      <c r="A15" s="3"/>
      <c r="B15" s="4" t="s">
        <v>29</v>
      </c>
      <c r="C15" s="5" t="s">
        <v>30</v>
      </c>
    </row>
    <row r="16" spans="1:3" x14ac:dyDescent="0.35">
      <c r="A16" s="3"/>
      <c r="B16" s="4" t="s">
        <v>31</v>
      </c>
      <c r="C16" s="5" t="s">
        <v>32</v>
      </c>
    </row>
    <row r="17" spans="1:3" x14ac:dyDescent="0.35">
      <c r="A17" s="3"/>
      <c r="B17" s="4" t="s">
        <v>33</v>
      </c>
      <c r="C17" s="5" t="s">
        <v>34</v>
      </c>
    </row>
    <row r="18" spans="1:3" x14ac:dyDescent="0.35">
      <c r="A18" s="3"/>
      <c r="B18" s="4" t="s">
        <v>35</v>
      </c>
      <c r="C18" s="5" t="s">
        <v>36</v>
      </c>
    </row>
    <row r="19" spans="1:3" x14ac:dyDescent="0.35">
      <c r="A19" s="3" t="s">
        <v>37</v>
      </c>
      <c r="B19" s="4" t="s">
        <v>38</v>
      </c>
      <c r="C19" s="5" t="s">
        <v>39</v>
      </c>
    </row>
    <row r="20" spans="1:3" x14ac:dyDescent="0.35">
      <c r="A20" s="3"/>
      <c r="B20" s="4" t="s">
        <v>40</v>
      </c>
      <c r="C20" s="5" t="s">
        <v>41</v>
      </c>
    </row>
    <row r="21" spans="1:3" x14ac:dyDescent="0.35">
      <c r="A21" s="3"/>
      <c r="B21" s="6" t="s">
        <v>42</v>
      </c>
      <c r="C21" s="7" t="s">
        <v>43</v>
      </c>
    </row>
    <row r="22" spans="1:3" x14ac:dyDescent="0.35">
      <c r="A22" s="3"/>
      <c r="B22" s="4" t="s">
        <v>44</v>
      </c>
      <c r="C22" s="5" t="s">
        <v>45</v>
      </c>
    </row>
    <row r="23" spans="1:3" x14ac:dyDescent="0.35">
      <c r="A23" s="3" t="s">
        <v>46</v>
      </c>
      <c r="B23" s="4" t="s">
        <v>47</v>
      </c>
      <c r="C23" s="5" t="s">
        <v>48</v>
      </c>
    </row>
    <row r="24" spans="1:3" x14ac:dyDescent="0.35">
      <c r="A24" s="3"/>
      <c r="B24" s="4" t="s">
        <v>49</v>
      </c>
      <c r="C24" s="5" t="s">
        <v>50</v>
      </c>
    </row>
    <row r="25" spans="1:3" x14ac:dyDescent="0.35">
      <c r="A25" s="3"/>
      <c r="B25" s="4" t="s">
        <v>51</v>
      </c>
      <c r="C25" s="5" t="s">
        <v>52</v>
      </c>
    </row>
    <row r="26" spans="1:3" x14ac:dyDescent="0.35">
      <c r="A26" s="3"/>
      <c r="B26" s="4" t="s">
        <v>53</v>
      </c>
      <c r="C26" s="5" t="s">
        <v>54</v>
      </c>
    </row>
    <row r="27" spans="1:3" x14ac:dyDescent="0.35">
      <c r="A27" s="3"/>
      <c r="B27" s="4" t="s">
        <v>55</v>
      </c>
      <c r="C27" s="5" t="s">
        <v>56</v>
      </c>
    </row>
    <row r="28" spans="1:3" x14ac:dyDescent="0.35">
      <c r="A28" s="3"/>
      <c r="B28" s="4" t="s">
        <v>57</v>
      </c>
      <c r="C28" s="5" t="s">
        <v>58</v>
      </c>
    </row>
    <row r="29" spans="1:3" x14ac:dyDescent="0.35">
      <c r="A29" s="3"/>
      <c r="B29" s="4" t="s">
        <v>59</v>
      </c>
      <c r="C29" s="5" t="s">
        <v>60</v>
      </c>
    </row>
    <row r="30" spans="1:3" ht="29" customHeight="1" x14ac:dyDescent="0.35">
      <c r="A30" s="3"/>
      <c r="B30" s="29" t="s">
        <v>61</v>
      </c>
      <c r="C30" s="30" t="s">
        <v>62</v>
      </c>
    </row>
    <row r="31" spans="1:3" x14ac:dyDescent="0.35">
      <c r="A31" s="3"/>
      <c r="B31" s="29" t="s">
        <v>63</v>
      </c>
      <c r="C31" s="30" t="s">
        <v>64</v>
      </c>
    </row>
    <row r="32" spans="1:3" x14ac:dyDescent="0.35">
      <c r="A32" s="3"/>
      <c r="B32" s="4" t="s">
        <v>65</v>
      </c>
      <c r="C32" s="5" t="s">
        <v>66</v>
      </c>
    </row>
    <row r="33" spans="1:3" x14ac:dyDescent="0.35">
      <c r="A33" s="3" t="s">
        <v>67</v>
      </c>
      <c r="B33" s="4" t="s">
        <v>68</v>
      </c>
      <c r="C33" s="5" t="s">
        <v>69</v>
      </c>
    </row>
    <row r="34" spans="1:3" x14ac:dyDescent="0.35">
      <c r="A34" s="3" t="s">
        <v>70</v>
      </c>
      <c r="B34" s="29" t="s">
        <v>71</v>
      </c>
      <c r="C34" s="30" t="s">
        <v>72</v>
      </c>
    </row>
    <row r="35" spans="1:3" x14ac:dyDescent="0.35">
      <c r="A35" s="3"/>
      <c r="B35" s="4" t="s">
        <v>73</v>
      </c>
      <c r="C35" s="5" t="s">
        <v>74</v>
      </c>
    </row>
    <row r="36" spans="1:3" x14ac:dyDescent="0.35">
      <c r="A36" s="3" t="s">
        <v>75</v>
      </c>
      <c r="B36" s="6" t="s">
        <v>76</v>
      </c>
      <c r="C36" s="7" t="s">
        <v>77</v>
      </c>
    </row>
    <row r="37" spans="1:3" x14ac:dyDescent="0.35">
      <c r="A37" s="3"/>
      <c r="B37" s="6" t="s">
        <v>78</v>
      </c>
      <c r="C37" s="7" t="s">
        <v>79</v>
      </c>
    </row>
    <row r="38" spans="1:3" x14ac:dyDescent="0.35">
      <c r="A38" s="3"/>
      <c r="B38" s="6" t="s">
        <v>80</v>
      </c>
      <c r="C38" s="7" t="s">
        <v>81</v>
      </c>
    </row>
    <row r="39" spans="1:3" x14ac:dyDescent="0.35">
      <c r="A39" s="3"/>
      <c r="B39" s="4" t="s">
        <v>82</v>
      </c>
      <c r="C39" s="5" t="s">
        <v>83</v>
      </c>
    </row>
    <row r="40" spans="1:3" x14ac:dyDescent="0.35">
      <c r="A40" s="3"/>
      <c r="B40" s="4" t="s">
        <v>84</v>
      </c>
      <c r="C40" s="5" t="s">
        <v>85</v>
      </c>
    </row>
    <row r="41" spans="1:3" x14ac:dyDescent="0.35">
      <c r="A41" s="3"/>
      <c r="B41" s="4" t="s">
        <v>86</v>
      </c>
      <c r="C41" s="5" t="s">
        <v>87</v>
      </c>
    </row>
    <row r="42" spans="1:3" x14ac:dyDescent="0.35">
      <c r="A42" s="3"/>
      <c r="B42" s="6" t="s">
        <v>88</v>
      </c>
      <c r="C42" s="7" t="s">
        <v>89</v>
      </c>
    </row>
    <row r="43" spans="1:3" x14ac:dyDescent="0.35">
      <c r="A43" s="3" t="s">
        <v>90</v>
      </c>
      <c r="B43" s="4" t="s">
        <v>91</v>
      </c>
      <c r="C43" s="5" t="s">
        <v>92</v>
      </c>
    </row>
    <row r="44" spans="1:3" x14ac:dyDescent="0.35">
      <c r="A44" s="3"/>
      <c r="B44" s="4" t="s">
        <v>93</v>
      </c>
      <c r="C44" s="5" t="s">
        <v>94</v>
      </c>
    </row>
    <row r="45" spans="1:3" x14ac:dyDescent="0.35">
      <c r="A45" s="3"/>
      <c r="B45" s="4" t="s">
        <v>95</v>
      </c>
      <c r="C45" s="5" t="s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B1" sqref="B1"/>
    </sheetView>
  </sheetViews>
  <sheetFormatPr defaultRowHeight="14.5" x14ac:dyDescent="0.35"/>
  <cols>
    <col min="1" max="1" width="22" customWidth="1"/>
    <col min="2" max="2" width="30" customWidth="1"/>
    <col min="3" max="3" width="11" customWidth="1"/>
    <col min="4" max="4" width="12" customWidth="1"/>
    <col min="5" max="5" width="22" customWidth="1"/>
    <col min="6" max="6" width="12" customWidth="1"/>
    <col min="7" max="7" width="24" customWidth="1"/>
    <col min="8" max="8" width="26" customWidth="1"/>
  </cols>
  <sheetData>
    <row r="1" spans="1:8" ht="18.5" x14ac:dyDescent="0.45">
      <c r="A1" s="8" t="s">
        <v>103</v>
      </c>
    </row>
    <row r="3" spans="1:8" x14ac:dyDescent="0.35">
      <c r="A3" s="9" t="s">
        <v>104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109</v>
      </c>
      <c r="G3" s="9" t="s">
        <v>35</v>
      </c>
      <c r="H3" s="9" t="s">
        <v>110</v>
      </c>
    </row>
    <row r="4" spans="1:8" x14ac:dyDescent="0.35">
      <c r="A4" s="10" t="s">
        <v>27</v>
      </c>
      <c r="B4" s="10" t="s">
        <v>111</v>
      </c>
      <c r="C4" s="10">
        <v>102</v>
      </c>
      <c r="D4" s="10">
        <v>102</v>
      </c>
      <c r="E4" s="10" t="s">
        <v>112</v>
      </c>
      <c r="F4" s="11">
        <v>102</v>
      </c>
      <c r="G4" s="10" t="s">
        <v>113</v>
      </c>
      <c r="H4" s="10" t="s">
        <v>114</v>
      </c>
    </row>
    <row r="5" spans="1:8" x14ac:dyDescent="0.35">
      <c r="A5" s="10" t="s">
        <v>115</v>
      </c>
      <c r="B5" s="10" t="s">
        <v>116</v>
      </c>
      <c r="C5" s="10">
        <v>102</v>
      </c>
      <c r="D5" s="10">
        <v>128</v>
      </c>
      <c r="E5" s="10" t="s">
        <v>30</v>
      </c>
      <c r="F5" s="11">
        <v>13184</v>
      </c>
      <c r="G5" s="10" t="s">
        <v>117</v>
      </c>
      <c r="H5" s="10" t="s">
        <v>118</v>
      </c>
    </row>
    <row r="6" spans="1:8" x14ac:dyDescent="0.35">
      <c r="A6" s="10" t="s">
        <v>119</v>
      </c>
      <c r="B6" s="10" t="s">
        <v>116</v>
      </c>
      <c r="C6" s="10">
        <v>128</v>
      </c>
      <c r="D6" s="10">
        <v>64</v>
      </c>
      <c r="E6" s="10" t="s">
        <v>30</v>
      </c>
      <c r="F6" s="11">
        <v>8256</v>
      </c>
      <c r="G6" s="10" t="s">
        <v>117</v>
      </c>
      <c r="H6" s="10" t="s">
        <v>118</v>
      </c>
    </row>
    <row r="7" spans="1:8" x14ac:dyDescent="0.35">
      <c r="A7" s="10" t="s">
        <v>31</v>
      </c>
      <c r="B7" s="10" t="s">
        <v>120</v>
      </c>
      <c r="C7" s="10">
        <v>64</v>
      </c>
      <c r="D7" s="10">
        <v>7</v>
      </c>
      <c r="E7" s="10" t="s">
        <v>121</v>
      </c>
      <c r="F7" s="11">
        <v>455</v>
      </c>
      <c r="G7" s="10" t="s">
        <v>122</v>
      </c>
      <c r="H7" s="10" t="s">
        <v>118</v>
      </c>
    </row>
    <row r="8" spans="1:8" x14ac:dyDescent="0.35">
      <c r="A8" s="12" t="s">
        <v>123</v>
      </c>
      <c r="B8" s="13"/>
      <c r="C8" s="13"/>
      <c r="D8" s="13"/>
      <c r="E8" s="13"/>
      <c r="F8" s="14">
        <f>SUM(F4:F7)</f>
        <v>21997</v>
      </c>
      <c r="G8" s="13"/>
      <c r="H8" s="13"/>
    </row>
    <row r="10" spans="1:8" x14ac:dyDescent="0.35">
      <c r="A10" s="15" t="s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9"/>
  <sheetViews>
    <sheetView workbookViewId="0">
      <pane xSplit="1" ySplit="3" topLeftCell="B4" activePane="bottomRight" state="frozen"/>
      <selection pane="topRight"/>
      <selection pane="bottomLeft"/>
      <selection pane="bottomRight" activeCell="J47" sqref="J47"/>
    </sheetView>
  </sheetViews>
  <sheetFormatPr defaultRowHeight="14.5" x14ac:dyDescent="0.35"/>
  <cols>
    <col min="1" max="1" width="8" customWidth="1"/>
    <col min="2" max="2" width="10" customWidth="1"/>
    <col min="3" max="3" width="15" customWidth="1"/>
    <col min="4" max="4" width="9" customWidth="1"/>
    <col min="5" max="6" width="11" customWidth="1"/>
    <col min="7" max="8" width="12" customWidth="1"/>
    <col min="9" max="9" width="13" customWidth="1"/>
    <col min="10" max="10" width="16" customWidth="1"/>
    <col min="11" max="12" width="13" customWidth="1"/>
    <col min="13" max="13" width="9" customWidth="1"/>
    <col min="14" max="14" width="11" customWidth="1"/>
  </cols>
  <sheetData>
    <row r="1" spans="1:14" ht="18.5" x14ac:dyDescent="0.45">
      <c r="A1" s="8" t="s">
        <v>125</v>
      </c>
    </row>
    <row r="3" spans="1:14" ht="45" customHeight="1" x14ac:dyDescent="0.35">
      <c r="A3" s="9" t="s">
        <v>126</v>
      </c>
      <c r="B3" s="9" t="s">
        <v>127</v>
      </c>
      <c r="C3" s="9" t="s">
        <v>128</v>
      </c>
      <c r="D3" s="9" t="s">
        <v>129</v>
      </c>
      <c r="E3" s="9" t="s">
        <v>130</v>
      </c>
      <c r="F3" s="9" t="s">
        <v>131</v>
      </c>
      <c r="G3" s="9" t="s">
        <v>132</v>
      </c>
      <c r="H3" s="9" t="s">
        <v>133</v>
      </c>
      <c r="I3" s="9" t="s">
        <v>134</v>
      </c>
      <c r="J3" s="9" t="s">
        <v>135</v>
      </c>
      <c r="K3" s="9" t="s">
        <v>136</v>
      </c>
      <c r="L3" s="9" t="s">
        <v>137</v>
      </c>
      <c r="M3" s="9" t="s">
        <v>138</v>
      </c>
      <c r="N3" s="9" t="s">
        <v>139</v>
      </c>
    </row>
    <row r="4" spans="1:14" x14ac:dyDescent="0.35">
      <c r="A4" s="16">
        <v>0</v>
      </c>
      <c r="B4" s="17">
        <v>71</v>
      </c>
      <c r="C4" s="10" t="s">
        <v>140</v>
      </c>
      <c r="D4" s="17">
        <v>62</v>
      </c>
      <c r="E4" s="18">
        <v>0.66216410400000003</v>
      </c>
      <c r="F4" s="18">
        <v>0.67442528700000004</v>
      </c>
      <c r="G4" s="18">
        <v>0.66342827349918065</v>
      </c>
      <c r="H4" s="18">
        <v>0.67565476190476192</v>
      </c>
      <c r="I4" s="18">
        <v>0.42599999999999999</v>
      </c>
      <c r="J4" s="17">
        <v>102</v>
      </c>
      <c r="K4" s="17">
        <v>102</v>
      </c>
      <c r="L4" s="19">
        <v>2.777173E-3</v>
      </c>
      <c r="M4" s="16">
        <v>2.7771728038787842</v>
      </c>
      <c r="N4" s="20">
        <v>6.6596963999999996</v>
      </c>
    </row>
    <row r="5" spans="1:14" x14ac:dyDescent="0.35">
      <c r="A5" s="16">
        <v>1E-3</v>
      </c>
      <c r="B5" s="17">
        <v>71</v>
      </c>
      <c r="C5" s="10" t="s">
        <v>140</v>
      </c>
      <c r="D5" s="17">
        <v>51</v>
      </c>
      <c r="E5" s="18">
        <v>0.661014514</v>
      </c>
      <c r="F5" s="18">
        <v>0.66853448299999996</v>
      </c>
      <c r="G5" s="18">
        <v>0.66218769551616263</v>
      </c>
      <c r="H5" s="18">
        <v>0.66969047619047628</v>
      </c>
      <c r="I5" s="18">
        <v>0.47099999999999997</v>
      </c>
      <c r="J5" s="17">
        <v>102</v>
      </c>
      <c r="K5" s="17">
        <v>102</v>
      </c>
      <c r="L5" s="19">
        <v>2.2997500000000001E-3</v>
      </c>
      <c r="M5" s="16">
        <v>2.2997498512268071</v>
      </c>
      <c r="N5" s="20">
        <v>6.6274128000000001</v>
      </c>
    </row>
    <row r="6" spans="1:14" x14ac:dyDescent="0.35">
      <c r="A6" s="16">
        <v>2E-3</v>
      </c>
      <c r="B6" s="17">
        <v>101</v>
      </c>
      <c r="C6" s="10" t="s">
        <v>140</v>
      </c>
      <c r="D6" s="17">
        <v>51</v>
      </c>
      <c r="E6" s="18">
        <v>0.66216410400000003</v>
      </c>
      <c r="F6" s="18">
        <v>0.66364942500000002</v>
      </c>
      <c r="G6" s="18">
        <v>0.66328779979144947</v>
      </c>
      <c r="H6" s="18">
        <v>0.66479166666666667</v>
      </c>
      <c r="I6" s="18">
        <v>0.46700000000000003</v>
      </c>
      <c r="J6" s="17">
        <v>102</v>
      </c>
      <c r="K6" s="17">
        <v>102</v>
      </c>
      <c r="L6" s="19">
        <v>2.0361279999999999E-3</v>
      </c>
      <c r="M6" s="16">
        <v>2.0361282825469971</v>
      </c>
      <c r="N6" s="20">
        <v>9.6901253000000001</v>
      </c>
    </row>
    <row r="7" spans="1:14" x14ac:dyDescent="0.35">
      <c r="A7" s="16">
        <v>3.0000000000000001E-3</v>
      </c>
      <c r="B7" s="17">
        <v>71</v>
      </c>
      <c r="C7" s="10" t="s">
        <v>140</v>
      </c>
      <c r="D7" s="17">
        <v>34</v>
      </c>
      <c r="E7" s="18">
        <v>0.65713464600000004</v>
      </c>
      <c r="F7" s="18">
        <v>0.65660919500000003</v>
      </c>
      <c r="G7" s="18">
        <v>0.65823893937136901</v>
      </c>
      <c r="H7" s="18">
        <v>0.6577142857142857</v>
      </c>
      <c r="I7" s="18">
        <v>0.45</v>
      </c>
      <c r="J7" s="17">
        <v>102</v>
      </c>
      <c r="K7" s="17">
        <v>102</v>
      </c>
      <c r="L7" s="19">
        <v>1.625182E-3</v>
      </c>
      <c r="M7" s="16">
        <v>1.625182151794434</v>
      </c>
      <c r="N7" s="20">
        <v>6.7636561999999998</v>
      </c>
    </row>
    <row r="8" spans="1:14" x14ac:dyDescent="0.35">
      <c r="A8" s="16">
        <v>4.0000000000000001E-3</v>
      </c>
      <c r="B8" s="17">
        <v>71</v>
      </c>
      <c r="C8" s="10" t="s">
        <v>140</v>
      </c>
      <c r="D8" s="17">
        <v>55</v>
      </c>
      <c r="E8" s="18">
        <v>0.65210518799999995</v>
      </c>
      <c r="F8" s="18">
        <v>0.65589080499999997</v>
      </c>
      <c r="G8" s="18">
        <v>0.65341605839416061</v>
      </c>
      <c r="H8" s="18">
        <v>0.65716666666666668</v>
      </c>
      <c r="I8" s="18">
        <v>0.41599999999999998</v>
      </c>
      <c r="J8" s="21">
        <v>58</v>
      </c>
      <c r="K8" s="17">
        <v>51</v>
      </c>
      <c r="L8" s="19">
        <v>1.70247E-3</v>
      </c>
      <c r="M8" s="16">
        <v>1.70246958732605</v>
      </c>
      <c r="N8" s="20">
        <v>6.6613543999999996</v>
      </c>
    </row>
    <row r="9" spans="1:14" x14ac:dyDescent="0.35">
      <c r="A9" s="16">
        <v>5.0000000000000001E-3</v>
      </c>
      <c r="B9" s="17">
        <v>93</v>
      </c>
      <c r="C9" s="10" t="s">
        <v>140</v>
      </c>
      <c r="D9" s="17">
        <v>79</v>
      </c>
      <c r="E9" s="18">
        <v>0.65124299500000005</v>
      </c>
      <c r="F9" s="18">
        <v>0.65114942499999995</v>
      </c>
      <c r="G9" s="18">
        <v>0.65262609861462828</v>
      </c>
      <c r="H9" s="18">
        <v>0.65247619047619043</v>
      </c>
      <c r="I9" s="18">
        <v>0.41099999999999998</v>
      </c>
      <c r="J9" s="21">
        <v>45</v>
      </c>
      <c r="K9" s="17">
        <v>38</v>
      </c>
      <c r="L9" s="19">
        <v>1.5847770000000001E-3</v>
      </c>
      <c r="M9" s="16">
        <v>1.5847774744033809</v>
      </c>
      <c r="N9" s="20">
        <v>9.0210337000000003</v>
      </c>
    </row>
    <row r="10" spans="1:14" x14ac:dyDescent="0.35">
      <c r="A10" s="16">
        <v>6.0000000000000001E-3</v>
      </c>
      <c r="B10" s="17">
        <v>201</v>
      </c>
      <c r="C10" s="10" t="s">
        <v>140</v>
      </c>
      <c r="D10" s="17">
        <v>187</v>
      </c>
      <c r="E10" s="18">
        <v>0.65210518799999995</v>
      </c>
      <c r="F10" s="18">
        <v>0.65761494300000001</v>
      </c>
      <c r="G10" s="18">
        <v>0.65325726202889911</v>
      </c>
      <c r="H10" s="18">
        <v>0.65872619047619041</v>
      </c>
      <c r="I10" s="18">
        <v>0.41899999999999998</v>
      </c>
      <c r="J10" s="17">
        <v>32</v>
      </c>
      <c r="K10" s="17">
        <v>32</v>
      </c>
      <c r="L10" s="19">
        <v>1.0919090000000001E-3</v>
      </c>
      <c r="M10" s="16">
        <v>1.0919090509414671</v>
      </c>
      <c r="N10" s="20">
        <v>19.860703699999998</v>
      </c>
    </row>
    <row r="11" spans="1:14" x14ac:dyDescent="0.35">
      <c r="A11" s="16">
        <v>7.0000000000000001E-3</v>
      </c>
      <c r="B11" s="17">
        <v>167</v>
      </c>
      <c r="C11" s="10" t="s">
        <v>140</v>
      </c>
      <c r="D11" s="17">
        <v>127</v>
      </c>
      <c r="E11" s="18">
        <v>0.647794223</v>
      </c>
      <c r="F11" s="18">
        <v>0.65201149400000002</v>
      </c>
      <c r="G11" s="18">
        <v>0.64907537613585575</v>
      </c>
      <c r="H11" s="18">
        <v>0.65321428571428564</v>
      </c>
      <c r="I11" s="18">
        <v>0.37</v>
      </c>
      <c r="J11" s="21">
        <v>31</v>
      </c>
      <c r="K11" s="17">
        <v>28</v>
      </c>
      <c r="L11" s="19">
        <v>1.2051760000000001E-3</v>
      </c>
      <c r="M11" s="16">
        <v>1.2051758766174321</v>
      </c>
      <c r="N11" s="20">
        <v>16.207516399999999</v>
      </c>
    </row>
    <row r="12" spans="1:14" x14ac:dyDescent="0.35">
      <c r="A12" s="16">
        <v>8.0000000000000002E-3</v>
      </c>
      <c r="B12" s="17">
        <v>313</v>
      </c>
      <c r="C12" s="10" t="s">
        <v>140</v>
      </c>
      <c r="D12" s="17">
        <v>306</v>
      </c>
      <c r="E12" s="18">
        <v>0.65282368199999996</v>
      </c>
      <c r="F12" s="18">
        <v>0.65215517199999995</v>
      </c>
      <c r="G12" s="18">
        <v>0.6540081930582452</v>
      </c>
      <c r="H12" s="18">
        <v>0.65330952380952378</v>
      </c>
      <c r="I12" s="18">
        <v>0.40600000000000003</v>
      </c>
      <c r="J12" s="17">
        <v>25</v>
      </c>
      <c r="K12" s="17">
        <v>25</v>
      </c>
      <c r="L12" s="19">
        <v>8.05417E-4</v>
      </c>
      <c r="M12" s="16">
        <v>0.80541718006134033</v>
      </c>
      <c r="N12" s="20">
        <v>31.854857200000001</v>
      </c>
    </row>
    <row r="13" spans="1:14" x14ac:dyDescent="0.35">
      <c r="A13" s="16">
        <v>8.9999999999999993E-3</v>
      </c>
      <c r="B13" s="17">
        <v>167</v>
      </c>
      <c r="C13" s="10" t="s">
        <v>140</v>
      </c>
      <c r="D13" s="17">
        <v>157</v>
      </c>
      <c r="E13" s="18">
        <v>0.64592613899999995</v>
      </c>
      <c r="F13" s="18">
        <v>0.64784482799999998</v>
      </c>
      <c r="G13" s="18">
        <v>0.64716937285863252</v>
      </c>
      <c r="H13" s="18">
        <v>0.64901785714285709</v>
      </c>
      <c r="I13" s="18">
        <v>0.38400000000000001</v>
      </c>
      <c r="J13" s="21">
        <v>26</v>
      </c>
      <c r="K13" s="17">
        <v>24</v>
      </c>
      <c r="L13" s="19">
        <v>1.012567E-3</v>
      </c>
      <c r="M13" s="16">
        <v>1.0125665664672849</v>
      </c>
      <c r="N13" s="20">
        <v>16.958576699999998</v>
      </c>
    </row>
    <row r="14" spans="1:14" x14ac:dyDescent="0.35">
      <c r="A14" s="16">
        <v>0.01</v>
      </c>
      <c r="B14" s="17">
        <v>367</v>
      </c>
      <c r="C14" s="10" t="s">
        <v>140</v>
      </c>
      <c r="D14" s="17">
        <v>341</v>
      </c>
      <c r="E14" s="18">
        <v>0.65153039199999996</v>
      </c>
      <c r="F14" s="18">
        <v>0.64928160899999998</v>
      </c>
      <c r="G14" s="18">
        <v>0.65260643527483986</v>
      </c>
      <c r="H14" s="18">
        <v>0.65027976190476189</v>
      </c>
      <c r="I14" s="18">
        <v>0.40300000000000002</v>
      </c>
      <c r="J14" s="17">
        <v>23</v>
      </c>
      <c r="K14" s="17">
        <v>23</v>
      </c>
      <c r="L14" s="19">
        <v>7.0023000000000004E-4</v>
      </c>
      <c r="M14" s="16">
        <v>0.70022958517074585</v>
      </c>
      <c r="N14" s="20">
        <v>37.864080299999998</v>
      </c>
    </row>
    <row r="15" spans="1:14" x14ac:dyDescent="0.35">
      <c r="A15" s="16">
        <v>1.0999999999999999E-2</v>
      </c>
      <c r="B15" s="17">
        <v>177</v>
      </c>
      <c r="C15" s="10" t="s">
        <v>140</v>
      </c>
      <c r="D15" s="17">
        <v>174</v>
      </c>
      <c r="E15" s="18">
        <v>0.64290846400000001</v>
      </c>
      <c r="F15" s="18">
        <v>0.64568965499999997</v>
      </c>
      <c r="G15" s="18">
        <v>0.64408386712349175</v>
      </c>
      <c r="H15" s="18">
        <v>0.64679166666666676</v>
      </c>
      <c r="I15" s="18">
        <v>0.39800000000000002</v>
      </c>
      <c r="J15" s="21">
        <v>28</v>
      </c>
      <c r="K15" s="17">
        <v>20</v>
      </c>
      <c r="L15" s="19">
        <v>9.1373300000000001E-4</v>
      </c>
      <c r="M15" s="16">
        <v>0.91373294591903687</v>
      </c>
      <c r="N15" s="20">
        <v>18.034928799999999</v>
      </c>
    </row>
    <row r="16" spans="1:14" x14ac:dyDescent="0.35">
      <c r="A16" s="16">
        <v>1.2E-2</v>
      </c>
      <c r="B16" s="17">
        <v>117</v>
      </c>
      <c r="C16" s="10" t="s">
        <v>140</v>
      </c>
      <c r="D16" s="17">
        <v>107</v>
      </c>
      <c r="E16" s="18">
        <v>0.61560568999999998</v>
      </c>
      <c r="F16" s="18">
        <v>0.61465517199999997</v>
      </c>
      <c r="G16" s="18">
        <v>0.61702651571577527</v>
      </c>
      <c r="H16" s="18">
        <v>0.61605952380952378</v>
      </c>
      <c r="I16" s="18">
        <v>0.39200000000000002</v>
      </c>
      <c r="J16" s="21">
        <v>57</v>
      </c>
      <c r="K16" s="17">
        <v>18</v>
      </c>
      <c r="L16" s="19">
        <v>5.35069E-4</v>
      </c>
      <c r="M16" s="16">
        <v>0.5350685715675354</v>
      </c>
      <c r="N16" s="20">
        <v>11.874989299999999</v>
      </c>
    </row>
    <row r="17" spans="1:14" x14ac:dyDescent="0.35">
      <c r="A17" s="16">
        <v>1.2999999999999999E-2</v>
      </c>
      <c r="B17" s="17">
        <v>105</v>
      </c>
      <c r="C17" s="10" t="s">
        <v>140</v>
      </c>
      <c r="D17" s="17">
        <v>71</v>
      </c>
      <c r="E17" s="18">
        <v>0.61129472600000001</v>
      </c>
      <c r="F17" s="18">
        <v>0.60718390799999999</v>
      </c>
      <c r="G17" s="18">
        <v>0.61256978995977962</v>
      </c>
      <c r="H17" s="18">
        <v>0.60846428571428568</v>
      </c>
      <c r="I17" s="18">
        <v>0.315</v>
      </c>
      <c r="J17" s="21">
        <v>67</v>
      </c>
      <c r="K17" s="17">
        <v>16</v>
      </c>
      <c r="L17" s="19">
        <v>5.9820100000000003E-4</v>
      </c>
      <c r="M17" s="16">
        <v>0.59820067882537842</v>
      </c>
      <c r="N17" s="20">
        <v>10.520177199999999</v>
      </c>
    </row>
    <row r="18" spans="1:14" x14ac:dyDescent="0.35">
      <c r="A18" s="16">
        <v>1.4E-2</v>
      </c>
      <c r="B18" s="17">
        <v>318</v>
      </c>
      <c r="C18" s="10" t="s">
        <v>141</v>
      </c>
      <c r="D18" s="17">
        <v>193</v>
      </c>
      <c r="E18" s="18">
        <v>0.61603678699999997</v>
      </c>
      <c r="F18" s="18">
        <v>0.608189655</v>
      </c>
      <c r="G18" s="18">
        <v>0.61701534336362285</v>
      </c>
      <c r="H18" s="18">
        <v>0.60918452380952381</v>
      </c>
      <c r="I18" s="18">
        <v>0.30399999999999999</v>
      </c>
      <c r="J18" s="21">
        <v>56</v>
      </c>
      <c r="K18" s="17">
        <v>15</v>
      </c>
      <c r="L18" s="19">
        <v>4.6045100000000001E-4</v>
      </c>
      <c r="M18" s="16">
        <v>0.46045124530792242</v>
      </c>
      <c r="N18" s="20">
        <v>32.580178400000001</v>
      </c>
    </row>
    <row r="19" spans="1:14" x14ac:dyDescent="0.35">
      <c r="A19" s="16">
        <v>1.4999999999999999E-2</v>
      </c>
      <c r="B19" s="17">
        <v>267</v>
      </c>
      <c r="C19" s="10" t="s">
        <v>140</v>
      </c>
      <c r="D19" s="17">
        <v>193</v>
      </c>
      <c r="E19" s="18">
        <v>0.61560568999999998</v>
      </c>
      <c r="F19" s="18">
        <v>0.606752874</v>
      </c>
      <c r="G19" s="18">
        <v>0.6165867719350514</v>
      </c>
      <c r="H19" s="18">
        <v>0.60775000000000001</v>
      </c>
      <c r="I19" s="18">
        <v>0.30299999999999999</v>
      </c>
      <c r="J19" s="21">
        <v>67</v>
      </c>
      <c r="K19" s="17">
        <v>15</v>
      </c>
      <c r="L19" s="19">
        <v>4.45081E-4</v>
      </c>
      <c r="M19" s="16">
        <v>0.44508102536201483</v>
      </c>
      <c r="N19" s="20">
        <v>27.632129800000001</v>
      </c>
    </row>
    <row r="20" spans="1:14" x14ac:dyDescent="0.35">
      <c r="A20" s="16">
        <v>1.6E-2</v>
      </c>
      <c r="B20" s="17">
        <v>105</v>
      </c>
      <c r="C20" s="10" t="s">
        <v>140</v>
      </c>
      <c r="D20" s="17">
        <v>69</v>
      </c>
      <c r="E20" s="18">
        <v>0.60310389399999997</v>
      </c>
      <c r="F20" s="18">
        <v>0.60632183900000003</v>
      </c>
      <c r="G20" s="18">
        <v>0.60438417994935201</v>
      </c>
      <c r="H20" s="18">
        <v>0.60752380952380947</v>
      </c>
      <c r="I20" s="18">
        <v>0.34899999999999998</v>
      </c>
      <c r="J20" s="21">
        <v>64</v>
      </c>
      <c r="K20" s="17">
        <v>13</v>
      </c>
      <c r="L20" s="19">
        <v>5.7425E-4</v>
      </c>
      <c r="M20" s="16">
        <v>0.5742497444152832</v>
      </c>
      <c r="N20" s="20">
        <v>10.9696274</v>
      </c>
    </row>
    <row r="21" spans="1:14" x14ac:dyDescent="0.35">
      <c r="A21" s="16">
        <v>1.7000000000000001E-2</v>
      </c>
      <c r="B21" s="17">
        <v>105</v>
      </c>
      <c r="C21" s="10" t="s">
        <v>140</v>
      </c>
      <c r="D21" s="17">
        <v>53</v>
      </c>
      <c r="E21" s="18">
        <v>0.60296019499999998</v>
      </c>
      <c r="F21" s="18">
        <v>0.59985632200000005</v>
      </c>
      <c r="G21" s="18">
        <v>0.60433904364665569</v>
      </c>
      <c r="H21" s="18">
        <v>0.60120238095238088</v>
      </c>
      <c r="I21" s="18">
        <v>0.27400000000000002</v>
      </c>
      <c r="J21" s="21">
        <v>67</v>
      </c>
      <c r="K21" s="17">
        <v>13</v>
      </c>
      <c r="L21" s="19">
        <v>6.2694900000000002E-4</v>
      </c>
      <c r="M21" s="16">
        <v>0.62694942951202393</v>
      </c>
      <c r="N21" s="20">
        <v>11.150593000000001</v>
      </c>
    </row>
    <row r="22" spans="1:14" x14ac:dyDescent="0.35">
      <c r="A22" s="16">
        <v>1.7999999999999999E-2</v>
      </c>
      <c r="B22" s="17">
        <v>79</v>
      </c>
      <c r="C22" s="10" t="s">
        <v>140</v>
      </c>
      <c r="D22" s="17">
        <v>69</v>
      </c>
      <c r="E22" s="18">
        <v>0.59635004999999996</v>
      </c>
      <c r="F22" s="18">
        <v>0.59166666700000003</v>
      </c>
      <c r="G22" s="18">
        <v>0.59748666765976466</v>
      </c>
      <c r="H22" s="18">
        <v>0.59282738095238086</v>
      </c>
      <c r="I22" s="18">
        <v>0.312</v>
      </c>
      <c r="J22" s="21">
        <v>60</v>
      </c>
      <c r="K22" s="17">
        <v>11</v>
      </c>
      <c r="L22" s="19">
        <v>6.3749E-4</v>
      </c>
      <c r="M22" s="16">
        <v>0.63748997449874878</v>
      </c>
      <c r="N22" s="20">
        <v>8.1459334999999999</v>
      </c>
    </row>
    <row r="23" spans="1:14" x14ac:dyDescent="0.35">
      <c r="A23" s="16">
        <v>1.9E-2</v>
      </c>
      <c r="B23" s="17">
        <v>167</v>
      </c>
      <c r="C23" s="10" t="s">
        <v>140</v>
      </c>
      <c r="D23" s="17">
        <v>148</v>
      </c>
      <c r="E23" s="18">
        <v>0.57896249499999997</v>
      </c>
      <c r="F23" s="18">
        <v>0.58290229900000001</v>
      </c>
      <c r="G23" s="18">
        <v>0.57993832861611794</v>
      </c>
      <c r="H23" s="18">
        <v>0.58391071428571428</v>
      </c>
      <c r="I23" s="18">
        <v>0.27500000000000002</v>
      </c>
      <c r="J23" s="21">
        <v>67</v>
      </c>
      <c r="K23" s="17">
        <v>9</v>
      </c>
      <c r="L23" s="19">
        <v>5.2821599999999997E-4</v>
      </c>
      <c r="M23" s="16">
        <v>0.52821630239486694</v>
      </c>
      <c r="N23" s="20">
        <v>17.131906399999998</v>
      </c>
    </row>
    <row r="24" spans="1:14" x14ac:dyDescent="0.35">
      <c r="A24" s="16">
        <v>0.02</v>
      </c>
      <c r="B24" s="17">
        <v>123</v>
      </c>
      <c r="C24" s="10" t="s">
        <v>140</v>
      </c>
      <c r="D24" s="17">
        <v>120</v>
      </c>
      <c r="E24" s="18">
        <v>0.56358672200000004</v>
      </c>
      <c r="F24" s="18">
        <v>0.56278735599999996</v>
      </c>
      <c r="G24" s="18">
        <v>0.56468315209295394</v>
      </c>
      <c r="H24" s="18">
        <v>0.5638333333333333</v>
      </c>
      <c r="I24" s="18">
        <v>0.29599999999999999</v>
      </c>
      <c r="J24" s="21">
        <v>64</v>
      </c>
      <c r="K24" s="17">
        <v>7</v>
      </c>
      <c r="L24" s="19">
        <v>5.7015199999999999E-4</v>
      </c>
      <c r="M24" s="16">
        <v>0.57015246152877808</v>
      </c>
      <c r="N24" s="20">
        <v>12.461831999999999</v>
      </c>
    </row>
    <row r="25" spans="1:14" x14ac:dyDescent="0.35">
      <c r="A25" s="16">
        <v>2.1000000000000001E-2</v>
      </c>
      <c r="B25" s="17">
        <v>137</v>
      </c>
      <c r="C25" s="10" t="s">
        <v>140</v>
      </c>
      <c r="D25" s="17">
        <v>127</v>
      </c>
      <c r="E25" s="18">
        <v>0.56373042100000004</v>
      </c>
      <c r="F25" s="18">
        <v>0.563074713</v>
      </c>
      <c r="G25" s="18">
        <v>0.56480768657828095</v>
      </c>
      <c r="H25" s="18">
        <v>0.56408928571428574</v>
      </c>
      <c r="I25" s="18">
        <v>0.27300000000000002</v>
      </c>
      <c r="J25" s="21">
        <v>66</v>
      </c>
      <c r="K25" s="17">
        <v>7</v>
      </c>
      <c r="L25" s="19">
        <v>5.5227E-4</v>
      </c>
      <c r="M25" s="16">
        <v>0.55227011442184448</v>
      </c>
      <c r="N25" s="20">
        <v>13.780041799999999</v>
      </c>
    </row>
    <row r="26" spans="1:14" x14ac:dyDescent="0.35">
      <c r="A26" s="16">
        <v>2.1999999999999999E-2</v>
      </c>
      <c r="B26" s="17">
        <v>123</v>
      </c>
      <c r="C26" s="10" t="s">
        <v>140</v>
      </c>
      <c r="D26" s="17">
        <v>115</v>
      </c>
      <c r="E26" s="18">
        <v>0.56143124</v>
      </c>
      <c r="F26" s="18">
        <v>0.560488506</v>
      </c>
      <c r="G26" s="18">
        <v>0.56221659466706397</v>
      </c>
      <c r="H26" s="18">
        <v>0.56125000000000003</v>
      </c>
      <c r="I26" s="18">
        <v>0.25900000000000001</v>
      </c>
      <c r="J26" s="21">
        <v>66</v>
      </c>
      <c r="K26" s="17">
        <v>7</v>
      </c>
      <c r="L26" s="19">
        <v>5.5257099999999996E-4</v>
      </c>
      <c r="M26" s="16">
        <v>0.55257052183151245</v>
      </c>
      <c r="N26" s="20">
        <v>12.472242400000001</v>
      </c>
    </row>
    <row r="27" spans="1:14" x14ac:dyDescent="0.35">
      <c r="A27" s="16">
        <v>2.3E-2</v>
      </c>
      <c r="B27" s="17">
        <v>123</v>
      </c>
      <c r="C27" s="10" t="s">
        <v>140</v>
      </c>
      <c r="D27" s="17">
        <v>115</v>
      </c>
      <c r="E27" s="18">
        <v>0.56171863799999999</v>
      </c>
      <c r="F27" s="18">
        <v>0.55962643700000003</v>
      </c>
      <c r="G27" s="18">
        <v>0.5625023089527782</v>
      </c>
      <c r="H27" s="18">
        <v>0.56039880952380949</v>
      </c>
      <c r="I27" s="18">
        <v>0.26</v>
      </c>
      <c r="J27" s="21">
        <v>74</v>
      </c>
      <c r="K27" s="17">
        <v>7</v>
      </c>
      <c r="L27" s="19">
        <v>5.3362600000000004E-4</v>
      </c>
      <c r="M27" s="16">
        <v>0.53362643718719482</v>
      </c>
      <c r="N27" s="20">
        <v>12.317456099999999</v>
      </c>
    </row>
    <row r="28" spans="1:14" x14ac:dyDescent="0.35">
      <c r="A28" s="16">
        <v>2.4E-2</v>
      </c>
      <c r="B28" s="17">
        <v>229</v>
      </c>
      <c r="C28" s="10" t="s">
        <v>140</v>
      </c>
      <c r="D28" s="17">
        <v>202</v>
      </c>
      <c r="E28" s="18">
        <v>0.56674809599999998</v>
      </c>
      <c r="F28" s="18">
        <v>0.56178160899999996</v>
      </c>
      <c r="G28" s="18">
        <v>0.56753284671532855</v>
      </c>
      <c r="H28" s="18">
        <v>0.5625</v>
      </c>
      <c r="I28" s="18">
        <v>0.255</v>
      </c>
      <c r="J28" s="21">
        <v>73</v>
      </c>
      <c r="K28" s="17">
        <v>7</v>
      </c>
      <c r="L28" s="19">
        <v>4.7250999999999999E-4</v>
      </c>
      <c r="M28" s="16">
        <v>0.47251003980636602</v>
      </c>
      <c r="N28" s="20">
        <v>19.8788196</v>
      </c>
    </row>
    <row r="29" spans="1:14" x14ac:dyDescent="0.35">
      <c r="A29" s="16">
        <v>2.5000000000000001E-2</v>
      </c>
      <c r="B29" s="17">
        <v>123</v>
      </c>
      <c r="C29" s="10" t="s">
        <v>140</v>
      </c>
      <c r="D29" s="17">
        <v>115</v>
      </c>
      <c r="E29" s="18">
        <v>0.55855726400000005</v>
      </c>
      <c r="F29" s="18">
        <v>0.55790229899999999</v>
      </c>
      <c r="G29" s="18">
        <v>0.55934112915239087</v>
      </c>
      <c r="H29" s="18">
        <v>0.55869047619047618</v>
      </c>
      <c r="I29" s="18">
        <v>0.252</v>
      </c>
      <c r="J29" s="21">
        <v>72</v>
      </c>
      <c r="K29" s="17">
        <v>7</v>
      </c>
      <c r="L29" s="19">
        <v>4.9642600000000001E-4</v>
      </c>
      <c r="M29" s="16">
        <v>0.49642649292945862</v>
      </c>
      <c r="N29" s="20">
        <v>11.528793</v>
      </c>
    </row>
    <row r="30" spans="1:14" x14ac:dyDescent="0.35">
      <c r="A30" s="16">
        <v>2.5999999999999999E-2</v>
      </c>
      <c r="B30" s="17">
        <v>123</v>
      </c>
      <c r="C30" s="10" t="s">
        <v>140</v>
      </c>
      <c r="D30" s="17">
        <v>106</v>
      </c>
      <c r="E30" s="18">
        <v>0.55769507100000004</v>
      </c>
      <c r="F30" s="18">
        <v>0.55416666699999995</v>
      </c>
      <c r="G30" s="18">
        <v>0.55872218084314018</v>
      </c>
      <c r="H30" s="18">
        <v>0.55517261904761905</v>
      </c>
      <c r="I30" s="18">
        <v>0.254</v>
      </c>
      <c r="J30" s="21">
        <v>75</v>
      </c>
      <c r="K30" s="17">
        <v>7</v>
      </c>
      <c r="L30" s="19">
        <v>4.69171E-4</v>
      </c>
      <c r="M30" s="16">
        <v>0.46917065978050232</v>
      </c>
      <c r="N30" s="20">
        <v>11.3517185</v>
      </c>
    </row>
    <row r="31" spans="1:14" x14ac:dyDescent="0.35">
      <c r="A31" s="16">
        <v>2.7E-2</v>
      </c>
      <c r="B31" s="17">
        <v>77</v>
      </c>
      <c r="C31" s="10" t="s">
        <v>140</v>
      </c>
      <c r="D31" s="17">
        <v>69</v>
      </c>
      <c r="E31" s="18">
        <v>0.55640178200000001</v>
      </c>
      <c r="F31" s="18">
        <v>0.55330459799999998</v>
      </c>
      <c r="G31" s="18">
        <v>0.55744868166244599</v>
      </c>
      <c r="H31" s="18">
        <v>0.55430357142857145</v>
      </c>
      <c r="I31" s="18">
        <v>0.248</v>
      </c>
      <c r="J31" s="21">
        <v>80</v>
      </c>
      <c r="K31" s="17">
        <v>7</v>
      </c>
      <c r="L31" s="19">
        <v>4.7763500000000002E-4</v>
      </c>
      <c r="M31" s="16">
        <v>0.47763475775718689</v>
      </c>
      <c r="N31" s="20">
        <v>7.5242893000000004</v>
      </c>
    </row>
    <row r="32" spans="1:14" x14ac:dyDescent="0.35">
      <c r="A32" s="16">
        <v>2.8000000000000001E-2</v>
      </c>
      <c r="B32" s="17">
        <v>123</v>
      </c>
      <c r="C32" s="10" t="s">
        <v>140</v>
      </c>
      <c r="D32" s="17">
        <v>93</v>
      </c>
      <c r="E32" s="18">
        <v>0.55438999899999997</v>
      </c>
      <c r="F32" s="18">
        <v>0.55086206900000001</v>
      </c>
      <c r="G32" s="18">
        <v>0.55525934753463424</v>
      </c>
      <c r="H32" s="18">
        <v>0.55161309523809521</v>
      </c>
      <c r="I32" s="18">
        <v>0.23100000000000001</v>
      </c>
      <c r="J32" s="21">
        <v>80</v>
      </c>
      <c r="K32" s="17">
        <v>7</v>
      </c>
      <c r="L32" s="19">
        <v>4.6407300000000001E-4</v>
      </c>
      <c r="M32" s="16">
        <v>0.46407341957092291</v>
      </c>
      <c r="N32" s="20">
        <v>11.245355</v>
      </c>
    </row>
    <row r="33" spans="1:14" x14ac:dyDescent="0.35">
      <c r="A33" s="16">
        <v>2.9000000000000001E-2</v>
      </c>
      <c r="B33" s="17">
        <v>71</v>
      </c>
      <c r="C33" s="10" t="s">
        <v>140</v>
      </c>
      <c r="D33" s="17">
        <v>53</v>
      </c>
      <c r="E33" s="18">
        <v>0.54447478100000002</v>
      </c>
      <c r="F33" s="18">
        <v>0.54468390799999999</v>
      </c>
      <c r="G33" s="18">
        <v>0.54558543125279313</v>
      </c>
      <c r="H33" s="18">
        <v>0.54576190476190478</v>
      </c>
      <c r="I33" s="18">
        <v>0.218</v>
      </c>
      <c r="J33" s="21">
        <v>86</v>
      </c>
      <c r="K33" s="17">
        <v>6</v>
      </c>
      <c r="L33" s="19">
        <v>4.4638799999999998E-4</v>
      </c>
      <c r="M33" s="16">
        <v>0.44638818502426147</v>
      </c>
      <c r="N33" s="20">
        <v>6.6727185000000002</v>
      </c>
    </row>
    <row r="34" spans="1:14" x14ac:dyDescent="0.35">
      <c r="A34" s="16">
        <v>0.03</v>
      </c>
      <c r="B34" s="17">
        <v>71</v>
      </c>
      <c r="C34" s="10" t="s">
        <v>140</v>
      </c>
      <c r="D34" s="17">
        <v>53</v>
      </c>
      <c r="E34" s="18">
        <v>0.54418738300000002</v>
      </c>
      <c r="F34" s="18">
        <v>0.54554597699999996</v>
      </c>
      <c r="G34" s="18">
        <v>0.54531803962460901</v>
      </c>
      <c r="H34" s="18">
        <v>0.54663095238095238</v>
      </c>
      <c r="I34" s="18">
        <v>0.217</v>
      </c>
      <c r="J34" s="21">
        <v>92</v>
      </c>
      <c r="K34" s="17">
        <v>6</v>
      </c>
      <c r="L34" s="19">
        <v>4.56119E-4</v>
      </c>
      <c r="M34" s="16">
        <v>0.45611903071403498</v>
      </c>
      <c r="N34" s="20">
        <v>6.3800156000000001</v>
      </c>
    </row>
    <row r="36" spans="1:14" x14ac:dyDescent="0.35">
      <c r="A36" s="15" t="s">
        <v>142</v>
      </c>
    </row>
    <row r="37" spans="1:14" x14ac:dyDescent="0.35">
      <c r="A37" s="15" t="s">
        <v>143</v>
      </c>
    </row>
    <row r="38" spans="1:14" x14ac:dyDescent="0.35">
      <c r="A38" s="15" t="s">
        <v>144</v>
      </c>
    </row>
    <row r="39" spans="1:14" x14ac:dyDescent="0.35">
      <c r="A39" s="15" t="s">
        <v>145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0"/>
  <sheetViews>
    <sheetView workbookViewId="0">
      <pane xSplit="1" ySplit="4" topLeftCell="B5" activePane="bottomRight" state="frozen"/>
      <selection pane="topRight"/>
      <selection pane="bottomLeft"/>
      <selection pane="bottomRight" activeCell="B4" sqref="B4:D4"/>
    </sheetView>
  </sheetViews>
  <sheetFormatPr defaultRowHeight="14.5" x14ac:dyDescent="0.35"/>
  <cols>
    <col min="1" max="8" width="9" customWidth="1"/>
    <col min="9" max="9" width="14" customWidth="1"/>
    <col min="10" max="10" width="11" customWidth="1"/>
  </cols>
  <sheetData>
    <row r="1" spans="1:10" ht="18.5" x14ac:dyDescent="0.45">
      <c r="A1" s="8" t="s">
        <v>146</v>
      </c>
    </row>
    <row r="3" spans="1:10" ht="15.5" x14ac:dyDescent="0.35">
      <c r="A3" s="22" t="s">
        <v>147</v>
      </c>
    </row>
    <row r="4" spans="1:10" ht="29" x14ac:dyDescent="0.35">
      <c r="A4" s="9" t="s">
        <v>126</v>
      </c>
      <c r="B4" s="9" t="s">
        <v>148</v>
      </c>
      <c r="C4" s="9" t="s">
        <v>149</v>
      </c>
      <c r="D4" s="9" t="s">
        <v>150</v>
      </c>
      <c r="E4" s="9" t="s">
        <v>151</v>
      </c>
      <c r="F4" s="9" t="s">
        <v>152</v>
      </c>
      <c r="G4" s="9" t="s">
        <v>153</v>
      </c>
      <c r="H4" s="9" t="s">
        <v>154</v>
      </c>
      <c r="I4" s="9" t="s">
        <v>155</v>
      </c>
      <c r="J4" s="9" t="s">
        <v>156</v>
      </c>
    </row>
    <row r="5" spans="1:10" x14ac:dyDescent="0.35">
      <c r="A5" s="23">
        <v>0</v>
      </c>
      <c r="B5" s="16">
        <v>0.88958333333333328</v>
      </c>
      <c r="C5" s="16">
        <v>0.879</v>
      </c>
      <c r="D5" s="16">
        <v>0.90400000000000003</v>
      </c>
      <c r="E5" s="16">
        <v>0.47599999999999998</v>
      </c>
      <c r="F5" s="16">
        <v>0.503</v>
      </c>
      <c r="G5" s="16">
        <v>0.42599999999999999</v>
      </c>
      <c r="H5" s="16">
        <v>0.65200000000000002</v>
      </c>
      <c r="I5" s="24">
        <v>0.67565476190476192</v>
      </c>
      <c r="J5" s="25">
        <v>0.42599999999999999</v>
      </c>
    </row>
    <row r="6" spans="1:10" x14ac:dyDescent="0.35">
      <c r="A6" s="23">
        <v>1E-3</v>
      </c>
      <c r="B6" s="16">
        <v>0.87083333333333335</v>
      </c>
      <c r="C6" s="16">
        <v>0.88700000000000001</v>
      </c>
      <c r="D6" s="16">
        <v>0.90300000000000002</v>
      </c>
      <c r="E6" s="16">
        <v>0.51</v>
      </c>
      <c r="F6" s="16">
        <v>0.47099999999999997</v>
      </c>
      <c r="G6" s="16">
        <v>0.48199999999999998</v>
      </c>
      <c r="H6" s="16">
        <v>0.56399999999999995</v>
      </c>
      <c r="I6" s="24">
        <v>0.66969047619047628</v>
      </c>
      <c r="J6" s="25">
        <v>0.47099999999999997</v>
      </c>
    </row>
    <row r="7" spans="1:10" x14ac:dyDescent="0.35">
      <c r="A7" s="23">
        <v>2E-3</v>
      </c>
      <c r="B7" s="16">
        <v>0.86354166666666665</v>
      </c>
      <c r="C7" s="16">
        <v>0.88900000000000001</v>
      </c>
      <c r="D7" s="16">
        <v>0.90300000000000002</v>
      </c>
      <c r="E7" s="16">
        <v>0.496</v>
      </c>
      <c r="F7" s="16">
        <v>0.46700000000000003</v>
      </c>
      <c r="G7" s="16">
        <v>0.48399999999999999</v>
      </c>
      <c r="H7" s="16">
        <v>0.55100000000000005</v>
      </c>
      <c r="I7" s="24">
        <v>0.66479166666666667</v>
      </c>
      <c r="J7" s="25">
        <v>0.46700000000000003</v>
      </c>
    </row>
    <row r="8" spans="1:10" x14ac:dyDescent="0.35">
      <c r="A8" s="23">
        <v>3.0000000000000001E-3</v>
      </c>
      <c r="B8" s="16">
        <v>0.85</v>
      </c>
      <c r="C8" s="16">
        <v>0.86299999999999999</v>
      </c>
      <c r="D8" s="16">
        <v>0.90700000000000003</v>
      </c>
      <c r="E8" s="16">
        <v>0.46</v>
      </c>
      <c r="F8" s="16">
        <v>0.48499999999999999</v>
      </c>
      <c r="G8" s="16">
        <v>0.45</v>
      </c>
      <c r="H8" s="16">
        <v>0.58899999999999997</v>
      </c>
      <c r="I8" s="24">
        <v>0.6577142857142857</v>
      </c>
      <c r="J8" s="25">
        <v>0.45</v>
      </c>
    </row>
    <row r="9" spans="1:10" x14ac:dyDescent="0.35">
      <c r="A9" s="23">
        <v>4.0000000000000001E-3</v>
      </c>
      <c r="B9" s="16">
        <v>0.87916666666666665</v>
      </c>
      <c r="C9" s="16">
        <v>0.84799999999999998</v>
      </c>
      <c r="D9" s="16">
        <v>0.90400000000000003</v>
      </c>
      <c r="E9" s="16">
        <v>0.53</v>
      </c>
      <c r="F9" s="16">
        <v>0.41599999999999998</v>
      </c>
      <c r="G9" s="16">
        <v>0.46300000000000002</v>
      </c>
      <c r="H9" s="16">
        <v>0.56000000000000005</v>
      </c>
      <c r="I9" s="24">
        <v>0.65716666666666668</v>
      </c>
      <c r="J9" s="25">
        <v>0.41599999999999998</v>
      </c>
    </row>
    <row r="10" spans="1:10" x14ac:dyDescent="0.35">
      <c r="A10" s="23">
        <v>5.0000000000000001E-3</v>
      </c>
      <c r="B10" s="16">
        <v>0.8833333333333333</v>
      </c>
      <c r="C10" s="16">
        <v>0.86399999999999999</v>
      </c>
      <c r="D10" s="16">
        <v>0.90600000000000003</v>
      </c>
      <c r="E10" s="16">
        <v>0.51700000000000002</v>
      </c>
      <c r="F10" s="16">
        <v>0.432</v>
      </c>
      <c r="G10" s="16">
        <v>0.41099999999999998</v>
      </c>
      <c r="H10" s="16">
        <v>0.55400000000000005</v>
      </c>
      <c r="I10" s="24">
        <v>0.65247619047619043</v>
      </c>
      <c r="J10" s="25">
        <v>0.41099999999999998</v>
      </c>
    </row>
    <row r="11" spans="1:10" x14ac:dyDescent="0.35">
      <c r="A11" s="23">
        <v>6.0000000000000001E-3</v>
      </c>
      <c r="B11" s="16">
        <v>0.8520833333333333</v>
      </c>
      <c r="C11" s="16">
        <v>0.89900000000000002</v>
      </c>
      <c r="D11" s="16">
        <v>0.89900000000000002</v>
      </c>
      <c r="E11" s="16">
        <v>0.47599999999999998</v>
      </c>
      <c r="F11" s="16">
        <v>0.41899999999999998</v>
      </c>
      <c r="G11" s="16">
        <v>0.48299999999999998</v>
      </c>
      <c r="H11" s="16">
        <v>0.58299999999999996</v>
      </c>
      <c r="I11" s="24">
        <v>0.65872619047619041</v>
      </c>
      <c r="J11" s="25">
        <v>0.41899999999999998</v>
      </c>
    </row>
    <row r="12" spans="1:10" x14ac:dyDescent="0.35">
      <c r="A12" s="23">
        <v>7.0000000000000001E-3</v>
      </c>
      <c r="B12" s="16">
        <v>0.86250000000000004</v>
      </c>
      <c r="C12" s="16">
        <v>0.83399999999999996</v>
      </c>
      <c r="D12" s="16">
        <v>0.90900000000000003</v>
      </c>
      <c r="E12" s="16">
        <v>0.47799999999999998</v>
      </c>
      <c r="F12" s="16">
        <v>0.37</v>
      </c>
      <c r="G12" s="16">
        <v>0.48599999999999999</v>
      </c>
      <c r="H12" s="16">
        <v>0.63300000000000001</v>
      </c>
      <c r="I12" s="24">
        <v>0.65321428571428564</v>
      </c>
      <c r="J12" s="25">
        <v>0.37</v>
      </c>
    </row>
    <row r="13" spans="1:10" x14ac:dyDescent="0.35">
      <c r="A13" s="23">
        <v>8.0000000000000002E-3</v>
      </c>
      <c r="B13" s="16">
        <v>0.85416666666666663</v>
      </c>
      <c r="C13" s="16">
        <v>0.83099999999999996</v>
      </c>
      <c r="D13" s="16">
        <v>0.90600000000000003</v>
      </c>
      <c r="E13" s="16">
        <v>0.46200000000000002</v>
      </c>
      <c r="F13" s="16">
        <v>0.40600000000000003</v>
      </c>
      <c r="G13" s="16">
        <v>0.48099999999999998</v>
      </c>
      <c r="H13" s="16">
        <v>0.63300000000000001</v>
      </c>
      <c r="I13" s="24">
        <v>0.65330952380952378</v>
      </c>
      <c r="J13" s="25">
        <v>0.40600000000000003</v>
      </c>
    </row>
    <row r="14" spans="1:10" x14ac:dyDescent="0.35">
      <c r="A14" s="23">
        <v>8.9999999999999993E-3</v>
      </c>
      <c r="B14" s="16">
        <v>0.85312500000000002</v>
      </c>
      <c r="C14" s="16">
        <v>0.86199999999999999</v>
      </c>
      <c r="D14" s="16">
        <v>0.90900000000000003</v>
      </c>
      <c r="E14" s="16">
        <v>0.40799999999999997</v>
      </c>
      <c r="F14" s="16">
        <v>0.49</v>
      </c>
      <c r="G14" s="16">
        <v>0.38400000000000001</v>
      </c>
      <c r="H14" s="16">
        <v>0.63700000000000001</v>
      </c>
      <c r="I14" s="24">
        <v>0.64901785714285709</v>
      </c>
      <c r="J14" s="25">
        <v>0.38400000000000001</v>
      </c>
    </row>
    <row r="15" spans="1:10" x14ac:dyDescent="0.35">
      <c r="A15" s="23">
        <v>0.01</v>
      </c>
      <c r="B15" s="16">
        <v>0.82395833333333335</v>
      </c>
      <c r="C15" s="16">
        <v>0.87</v>
      </c>
      <c r="D15" s="16">
        <v>0.90300000000000002</v>
      </c>
      <c r="E15" s="16">
        <v>0.40300000000000002</v>
      </c>
      <c r="F15" s="16">
        <v>0.44500000000000001</v>
      </c>
      <c r="G15" s="16">
        <v>0.45400000000000001</v>
      </c>
      <c r="H15" s="16">
        <v>0.65300000000000002</v>
      </c>
      <c r="I15" s="24">
        <v>0.65027976190476189</v>
      </c>
      <c r="J15" s="25">
        <v>0.40300000000000002</v>
      </c>
    </row>
    <row r="16" spans="1:10" x14ac:dyDescent="0.35">
      <c r="A16" s="23">
        <v>1.0999999999999999E-2</v>
      </c>
      <c r="B16" s="16">
        <v>0.83854166666666663</v>
      </c>
      <c r="C16" s="16">
        <v>0.879</v>
      </c>
      <c r="D16" s="16">
        <v>0.91100000000000003</v>
      </c>
      <c r="E16" s="16">
        <v>0.41899999999999998</v>
      </c>
      <c r="F16" s="16">
        <v>0.39800000000000002</v>
      </c>
      <c r="G16" s="16">
        <v>0.45200000000000001</v>
      </c>
      <c r="H16" s="16">
        <v>0.63</v>
      </c>
      <c r="I16" s="24">
        <v>0.64679166666666676</v>
      </c>
      <c r="J16" s="25">
        <v>0.39800000000000002</v>
      </c>
    </row>
    <row r="17" spans="1:10" x14ac:dyDescent="0.35">
      <c r="A17" s="23">
        <v>1.2E-2</v>
      </c>
      <c r="B17" s="16">
        <v>0.86041666666666672</v>
      </c>
      <c r="C17" s="16">
        <v>0.85899999999999999</v>
      </c>
      <c r="D17" s="16">
        <v>0.90100000000000002</v>
      </c>
      <c r="E17" s="16">
        <v>0.40200000000000002</v>
      </c>
      <c r="F17" s="16">
        <v>0.39200000000000002</v>
      </c>
      <c r="G17" s="16">
        <v>0.41799999999999998</v>
      </c>
      <c r="H17" s="16">
        <v>0.48</v>
      </c>
      <c r="I17" s="24">
        <v>0.61605952380952378</v>
      </c>
      <c r="J17" s="25">
        <v>0.39200000000000002</v>
      </c>
    </row>
    <row r="18" spans="1:10" x14ac:dyDescent="0.35">
      <c r="A18" s="23">
        <v>1.2999999999999999E-2</v>
      </c>
      <c r="B18" s="16">
        <v>0.83125000000000004</v>
      </c>
      <c r="C18" s="16">
        <v>0.82199999999999995</v>
      </c>
      <c r="D18" s="16">
        <v>0.91200000000000003</v>
      </c>
      <c r="E18" s="16">
        <v>0.34899999999999998</v>
      </c>
      <c r="F18" s="16">
        <v>0.53400000000000003</v>
      </c>
      <c r="G18" s="16">
        <v>0.315</v>
      </c>
      <c r="H18" s="16">
        <v>0.496</v>
      </c>
      <c r="I18" s="24">
        <v>0.60846428571428568</v>
      </c>
      <c r="J18" s="25">
        <v>0.315</v>
      </c>
    </row>
    <row r="19" spans="1:10" x14ac:dyDescent="0.35">
      <c r="A19" s="23">
        <v>1.4E-2</v>
      </c>
      <c r="B19" s="16">
        <v>0.78229166666666672</v>
      </c>
      <c r="C19" s="16">
        <v>0.85299999999999998</v>
      </c>
      <c r="D19" s="16">
        <v>0.90500000000000003</v>
      </c>
      <c r="E19" s="16">
        <v>0.30399999999999999</v>
      </c>
      <c r="F19" s="16">
        <v>0.49</v>
      </c>
      <c r="G19" s="16">
        <v>0.34200000000000003</v>
      </c>
      <c r="H19" s="16">
        <v>0.58799999999999997</v>
      </c>
      <c r="I19" s="24">
        <v>0.60918452380952381</v>
      </c>
      <c r="J19" s="25">
        <v>0.30399999999999999</v>
      </c>
    </row>
    <row r="20" spans="1:10" x14ac:dyDescent="0.35">
      <c r="A20" s="23">
        <v>1.4999999999999999E-2</v>
      </c>
      <c r="B20" s="16">
        <v>0.78125</v>
      </c>
      <c r="C20" s="16">
        <v>0.85299999999999998</v>
      </c>
      <c r="D20" s="16">
        <v>0.90500000000000003</v>
      </c>
      <c r="E20" s="16">
        <v>0.30299999999999999</v>
      </c>
      <c r="F20" s="16">
        <v>0.48299999999999998</v>
      </c>
      <c r="G20" s="16">
        <v>0.34599999999999997</v>
      </c>
      <c r="H20" s="16">
        <v>0.58299999999999996</v>
      </c>
      <c r="I20" s="24">
        <v>0.60775000000000001</v>
      </c>
      <c r="J20" s="25">
        <v>0.30299999999999999</v>
      </c>
    </row>
    <row r="21" spans="1:10" x14ac:dyDescent="0.35">
      <c r="A21" s="23">
        <v>1.6E-2</v>
      </c>
      <c r="B21" s="16">
        <v>0.81666666666666665</v>
      </c>
      <c r="C21" s="16">
        <v>0.85199999999999998</v>
      </c>
      <c r="D21" s="16">
        <v>0.91</v>
      </c>
      <c r="E21" s="16">
        <v>0.37</v>
      </c>
      <c r="F21" s="16">
        <v>0.377</v>
      </c>
      <c r="G21" s="16">
        <v>0.34899999999999998</v>
      </c>
      <c r="H21" s="16">
        <v>0.57799999999999996</v>
      </c>
      <c r="I21" s="24">
        <v>0.60752380952380947</v>
      </c>
      <c r="J21" s="25">
        <v>0.34899999999999998</v>
      </c>
    </row>
    <row r="22" spans="1:10" x14ac:dyDescent="0.35">
      <c r="A22" s="23">
        <v>1.7000000000000001E-2</v>
      </c>
      <c r="B22" s="16">
        <v>0.8354166666666667</v>
      </c>
      <c r="C22" s="16">
        <v>0.82299999999999995</v>
      </c>
      <c r="D22" s="16">
        <v>0.90500000000000003</v>
      </c>
      <c r="E22" s="16">
        <v>0.40400000000000003</v>
      </c>
      <c r="F22" s="16">
        <v>0.47499999999999998</v>
      </c>
      <c r="G22" s="16">
        <v>0.27400000000000002</v>
      </c>
      <c r="H22" s="16">
        <v>0.49199999999999999</v>
      </c>
      <c r="I22" s="24">
        <v>0.60120238095238088</v>
      </c>
      <c r="J22" s="25">
        <v>0.27400000000000002</v>
      </c>
    </row>
    <row r="23" spans="1:10" x14ac:dyDescent="0.35">
      <c r="A23" s="23">
        <v>1.7999999999999999E-2</v>
      </c>
      <c r="B23" s="16">
        <v>0.79479166666666667</v>
      </c>
      <c r="C23" s="16">
        <v>0.84599999999999997</v>
      </c>
      <c r="D23" s="16">
        <v>0.91100000000000003</v>
      </c>
      <c r="E23" s="16">
        <v>0.34100000000000003</v>
      </c>
      <c r="F23" s="16">
        <v>0.33700000000000002</v>
      </c>
      <c r="G23" s="16">
        <v>0.312</v>
      </c>
      <c r="H23" s="16">
        <v>0.60799999999999998</v>
      </c>
      <c r="I23" s="24">
        <v>0.59282738095238086</v>
      </c>
      <c r="J23" s="25">
        <v>0.312</v>
      </c>
    </row>
    <row r="24" spans="1:10" x14ac:dyDescent="0.35">
      <c r="A24" s="23">
        <v>1.9E-2</v>
      </c>
      <c r="B24" s="16">
        <v>0.75937500000000002</v>
      </c>
      <c r="C24" s="16">
        <v>0.86199999999999999</v>
      </c>
      <c r="D24" s="16">
        <v>0.90900000000000003</v>
      </c>
      <c r="E24" s="16">
        <v>0.27500000000000002</v>
      </c>
      <c r="F24" s="16">
        <v>0.3</v>
      </c>
      <c r="G24" s="16">
        <v>0.39700000000000002</v>
      </c>
      <c r="H24" s="16">
        <v>0.58499999999999996</v>
      </c>
      <c r="I24" s="24">
        <v>0.58391071428571428</v>
      </c>
      <c r="J24" s="25">
        <v>0.27500000000000002</v>
      </c>
    </row>
    <row r="25" spans="1:10" x14ac:dyDescent="0.35">
      <c r="A25" s="23">
        <v>0.02</v>
      </c>
      <c r="B25" s="16">
        <v>0.74583333333333335</v>
      </c>
      <c r="C25" s="16">
        <v>0.79700000000000004</v>
      </c>
      <c r="D25" s="16">
        <v>0.91300000000000003</v>
      </c>
      <c r="E25" s="16">
        <v>0.35599999999999998</v>
      </c>
      <c r="F25" s="16">
        <v>0.29599999999999999</v>
      </c>
      <c r="G25" s="16">
        <v>0.314</v>
      </c>
      <c r="H25" s="16">
        <v>0.52500000000000002</v>
      </c>
      <c r="I25" s="24">
        <v>0.5638333333333333</v>
      </c>
      <c r="J25" s="25">
        <v>0.29599999999999999</v>
      </c>
    </row>
    <row r="26" spans="1:10" x14ac:dyDescent="0.35">
      <c r="A26" s="23">
        <v>2.1000000000000001E-2</v>
      </c>
      <c r="B26" s="16">
        <v>0.74062499999999998</v>
      </c>
      <c r="C26" s="16">
        <v>0.78200000000000003</v>
      </c>
      <c r="D26" s="16">
        <v>0.91300000000000003</v>
      </c>
      <c r="E26" s="16">
        <v>0.31</v>
      </c>
      <c r="F26" s="16">
        <v>0.34899999999999998</v>
      </c>
      <c r="G26" s="16">
        <v>0.27300000000000002</v>
      </c>
      <c r="H26" s="16">
        <v>0.58099999999999996</v>
      </c>
      <c r="I26" s="24">
        <v>0.56408928571428574</v>
      </c>
      <c r="J26" s="25">
        <v>0.27300000000000002</v>
      </c>
    </row>
    <row r="27" spans="1:10" x14ac:dyDescent="0.35">
      <c r="A27" s="23">
        <v>2.1999999999999999E-2</v>
      </c>
      <c r="B27" s="16">
        <v>0.69374999999999998</v>
      </c>
      <c r="C27" s="16">
        <v>0.83099999999999996</v>
      </c>
      <c r="D27" s="16">
        <v>0.91100000000000003</v>
      </c>
      <c r="E27" s="16">
        <v>0.3</v>
      </c>
      <c r="F27" s="16">
        <v>0.36499999999999999</v>
      </c>
      <c r="G27" s="16">
        <v>0.25900000000000001</v>
      </c>
      <c r="H27" s="16">
        <v>0.56899999999999995</v>
      </c>
      <c r="I27" s="24">
        <v>0.56125000000000003</v>
      </c>
      <c r="J27" s="25">
        <v>0.25900000000000001</v>
      </c>
    </row>
    <row r="28" spans="1:10" x14ac:dyDescent="0.35">
      <c r="A28" s="23">
        <v>2.3E-2</v>
      </c>
      <c r="B28" s="16">
        <v>0.6947916666666667</v>
      </c>
      <c r="C28" s="16">
        <v>0.83299999999999996</v>
      </c>
      <c r="D28" s="16">
        <v>0.91200000000000003</v>
      </c>
      <c r="E28" s="16">
        <v>0.29399999999999998</v>
      </c>
      <c r="F28" s="16">
        <v>0.36299999999999999</v>
      </c>
      <c r="G28" s="16">
        <v>0.26</v>
      </c>
      <c r="H28" s="16">
        <v>0.56599999999999995</v>
      </c>
      <c r="I28" s="24">
        <v>0.56039880952380949</v>
      </c>
      <c r="J28" s="25">
        <v>0.26</v>
      </c>
    </row>
    <row r="29" spans="1:10" x14ac:dyDescent="0.35">
      <c r="A29" s="23">
        <v>2.4E-2</v>
      </c>
      <c r="B29" s="16">
        <v>0.6875</v>
      </c>
      <c r="C29" s="16">
        <v>0.79700000000000004</v>
      </c>
      <c r="D29" s="16">
        <v>0.91600000000000004</v>
      </c>
      <c r="E29" s="16">
        <v>0.255</v>
      </c>
      <c r="F29" s="16">
        <v>0.36399999999999999</v>
      </c>
      <c r="G29" s="16">
        <v>0.27</v>
      </c>
      <c r="H29" s="16">
        <v>0.64800000000000002</v>
      </c>
      <c r="I29" s="24">
        <v>0.5625</v>
      </c>
      <c r="J29" s="25">
        <v>0.255</v>
      </c>
    </row>
    <row r="30" spans="1:10" x14ac:dyDescent="0.35">
      <c r="A30" s="23">
        <v>2.5000000000000001E-2</v>
      </c>
      <c r="B30" s="16">
        <v>0.6958333333333333</v>
      </c>
      <c r="C30" s="16">
        <v>0.83499999999999996</v>
      </c>
      <c r="D30" s="16">
        <v>0.91100000000000003</v>
      </c>
      <c r="E30" s="16">
        <v>0.28599999999999998</v>
      </c>
      <c r="F30" s="16">
        <v>0.374</v>
      </c>
      <c r="G30" s="16">
        <v>0.252</v>
      </c>
      <c r="H30" s="16">
        <v>0.55700000000000005</v>
      </c>
      <c r="I30" s="24">
        <v>0.55869047619047618</v>
      </c>
      <c r="J30" s="25">
        <v>0.252</v>
      </c>
    </row>
    <row r="31" spans="1:10" x14ac:dyDescent="0.35">
      <c r="A31" s="23">
        <v>2.5999999999999999E-2</v>
      </c>
      <c r="B31" s="16">
        <v>0.73020833333333335</v>
      </c>
      <c r="C31" s="16">
        <v>0.81200000000000006</v>
      </c>
      <c r="D31" s="16">
        <v>0.91</v>
      </c>
      <c r="E31" s="16">
        <v>0.30299999999999999</v>
      </c>
      <c r="F31" s="16">
        <v>0.254</v>
      </c>
      <c r="G31" s="16">
        <v>0.318</v>
      </c>
      <c r="H31" s="16">
        <v>0.55900000000000005</v>
      </c>
      <c r="I31" s="24">
        <v>0.55517261904761905</v>
      </c>
      <c r="J31" s="25">
        <v>0.254</v>
      </c>
    </row>
    <row r="32" spans="1:10" x14ac:dyDescent="0.35">
      <c r="A32" s="23">
        <v>2.7E-2</v>
      </c>
      <c r="B32" s="16">
        <v>0.72812500000000002</v>
      </c>
      <c r="C32" s="16">
        <v>0.77500000000000002</v>
      </c>
      <c r="D32" s="16">
        <v>0.91400000000000003</v>
      </c>
      <c r="E32" s="16">
        <v>0.31</v>
      </c>
      <c r="F32" s="16">
        <v>0.248</v>
      </c>
      <c r="G32" s="16">
        <v>0.309</v>
      </c>
      <c r="H32" s="16">
        <v>0.59599999999999997</v>
      </c>
      <c r="I32" s="24">
        <v>0.55430357142857145</v>
      </c>
      <c r="J32" s="25">
        <v>0.248</v>
      </c>
    </row>
    <row r="33" spans="1:10" x14ac:dyDescent="0.35">
      <c r="A33" s="23">
        <v>2.8000000000000001E-2</v>
      </c>
      <c r="B33" s="16">
        <v>0.68229166666666663</v>
      </c>
      <c r="C33" s="16">
        <v>0.76700000000000002</v>
      </c>
      <c r="D33" s="16">
        <v>0.91500000000000004</v>
      </c>
      <c r="E33" s="16">
        <v>0.23100000000000001</v>
      </c>
      <c r="F33" s="16">
        <v>0.26700000000000002</v>
      </c>
      <c r="G33" s="16">
        <v>0.433</v>
      </c>
      <c r="H33" s="16">
        <v>0.56599999999999995</v>
      </c>
      <c r="I33" s="24">
        <v>0.55161309523809521</v>
      </c>
      <c r="J33" s="25">
        <v>0.23100000000000001</v>
      </c>
    </row>
    <row r="34" spans="1:10" x14ac:dyDescent="0.35">
      <c r="A34" s="23">
        <v>2.9000000000000001E-2</v>
      </c>
      <c r="B34" s="16">
        <v>0.73333333333333328</v>
      </c>
      <c r="C34" s="16">
        <v>0.752</v>
      </c>
      <c r="D34" s="16">
        <v>0.91</v>
      </c>
      <c r="E34" s="16">
        <v>0.32500000000000001</v>
      </c>
      <c r="F34" s="16">
        <v>0.218</v>
      </c>
      <c r="G34" s="16">
        <v>0.34699999999999998</v>
      </c>
      <c r="H34" s="16">
        <v>0.53500000000000003</v>
      </c>
      <c r="I34" s="24">
        <v>0.54576190476190478</v>
      </c>
      <c r="J34" s="25">
        <v>0.218</v>
      </c>
    </row>
    <row r="35" spans="1:10" x14ac:dyDescent="0.35">
      <c r="A35" s="23">
        <v>0.03</v>
      </c>
      <c r="B35" s="16">
        <v>0.73541666666666672</v>
      </c>
      <c r="C35" s="16">
        <v>0.75</v>
      </c>
      <c r="D35" s="16">
        <v>0.91200000000000003</v>
      </c>
      <c r="E35" s="16">
        <v>0.32500000000000001</v>
      </c>
      <c r="F35" s="16">
        <v>0.217</v>
      </c>
      <c r="G35" s="16">
        <v>0.34599999999999997</v>
      </c>
      <c r="H35" s="16">
        <v>0.54100000000000004</v>
      </c>
      <c r="I35" s="24">
        <v>0.54663095238095238</v>
      </c>
      <c r="J35" s="25">
        <v>0.217</v>
      </c>
    </row>
    <row r="38" spans="1:10" ht="15.5" x14ac:dyDescent="0.35">
      <c r="A38" s="22" t="s">
        <v>157</v>
      </c>
    </row>
    <row r="39" spans="1:10" ht="29" x14ac:dyDescent="0.35">
      <c r="A39" s="9" t="s">
        <v>126</v>
      </c>
      <c r="B39" s="9" t="s">
        <v>148</v>
      </c>
      <c r="C39" s="9" t="s">
        <v>149</v>
      </c>
      <c r="D39" s="9" t="s">
        <v>150</v>
      </c>
      <c r="E39" s="9" t="s">
        <v>151</v>
      </c>
      <c r="F39" s="9" t="s">
        <v>152</v>
      </c>
      <c r="G39" s="9" t="s">
        <v>153</v>
      </c>
      <c r="H39" s="9" t="s">
        <v>154</v>
      </c>
      <c r="I39" s="9" t="s">
        <v>155</v>
      </c>
      <c r="J39" s="9" t="s">
        <v>156</v>
      </c>
    </row>
    <row r="40" spans="1:10" x14ac:dyDescent="0.35">
      <c r="A40" s="23">
        <v>0</v>
      </c>
      <c r="B40" s="16">
        <v>0.8779979144942649</v>
      </c>
      <c r="C40" s="16">
        <v>0.85399999999999998</v>
      </c>
      <c r="D40" s="16">
        <v>0.91500000000000004</v>
      </c>
      <c r="E40" s="16">
        <v>0.45200000000000001</v>
      </c>
      <c r="F40" s="16">
        <v>0.502</v>
      </c>
      <c r="G40" s="16">
        <v>0.39600000000000002</v>
      </c>
      <c r="H40" s="16">
        <v>0.64700000000000002</v>
      </c>
      <c r="I40" s="24">
        <v>0.66342827349918065</v>
      </c>
      <c r="J40" s="25">
        <v>0.39600000000000002</v>
      </c>
    </row>
    <row r="41" spans="1:10" x14ac:dyDescent="0.35">
      <c r="A41" s="23">
        <v>1E-3</v>
      </c>
      <c r="B41" s="16">
        <v>0.86131386861313863</v>
      </c>
      <c r="C41" s="16">
        <v>0.86699999999999999</v>
      </c>
      <c r="D41" s="16">
        <v>0.91500000000000004</v>
      </c>
      <c r="E41" s="16">
        <v>0.47899999999999998</v>
      </c>
      <c r="F41" s="16">
        <v>0.46899999999999997</v>
      </c>
      <c r="G41" s="16">
        <v>0.47099999999999997</v>
      </c>
      <c r="H41" s="16">
        <v>0.57299999999999995</v>
      </c>
      <c r="I41" s="24">
        <v>0.66218769551616263</v>
      </c>
      <c r="J41" s="25">
        <v>0.46899999999999997</v>
      </c>
    </row>
    <row r="42" spans="1:10" x14ac:dyDescent="0.35">
      <c r="A42" s="23">
        <v>2E-3</v>
      </c>
      <c r="B42" s="16">
        <v>0.85401459854014594</v>
      </c>
      <c r="C42" s="16">
        <v>0.86799999999999999</v>
      </c>
      <c r="D42" s="16">
        <v>0.91700000000000004</v>
      </c>
      <c r="E42" s="16">
        <v>0.47799999999999998</v>
      </c>
      <c r="F42" s="16">
        <v>0.47199999999999998</v>
      </c>
      <c r="G42" s="16">
        <v>0.48</v>
      </c>
      <c r="H42" s="16">
        <v>0.57399999999999995</v>
      </c>
      <c r="I42" s="24">
        <v>0.66328779979144947</v>
      </c>
      <c r="J42" s="25">
        <v>0.47199999999999998</v>
      </c>
    </row>
    <row r="43" spans="1:10" x14ac:dyDescent="0.35">
      <c r="A43" s="23">
        <v>3.0000000000000001E-3</v>
      </c>
      <c r="B43" s="16">
        <v>0.84567257559958287</v>
      </c>
      <c r="C43" s="16">
        <v>0.85099999999999998</v>
      </c>
      <c r="D43" s="16">
        <v>0.92</v>
      </c>
      <c r="E43" s="16">
        <v>0.45</v>
      </c>
      <c r="F43" s="16">
        <v>0.48099999999999998</v>
      </c>
      <c r="G43" s="16">
        <v>0.45200000000000001</v>
      </c>
      <c r="H43" s="16">
        <v>0.60799999999999998</v>
      </c>
      <c r="I43" s="24">
        <v>0.65823893937136901</v>
      </c>
      <c r="J43" s="25">
        <v>0.45</v>
      </c>
    </row>
    <row r="44" spans="1:10" x14ac:dyDescent="0.35">
      <c r="A44" s="23">
        <v>4.0000000000000001E-3</v>
      </c>
      <c r="B44" s="16">
        <v>0.87591240875912413</v>
      </c>
      <c r="C44" s="16">
        <v>0.82799999999999996</v>
      </c>
      <c r="D44" s="16">
        <v>0.91900000000000004</v>
      </c>
      <c r="E44" s="16">
        <v>0.48299999999999998</v>
      </c>
      <c r="F44" s="16">
        <v>0.42499999999999999</v>
      </c>
      <c r="G44" s="16">
        <v>0.45600000000000002</v>
      </c>
      <c r="H44" s="16">
        <v>0.58699999999999997</v>
      </c>
      <c r="I44" s="24">
        <v>0.65341605839416061</v>
      </c>
      <c r="J44" s="25">
        <v>0.42499999999999999</v>
      </c>
    </row>
    <row r="45" spans="1:10" x14ac:dyDescent="0.35">
      <c r="A45" s="23">
        <v>5.0000000000000001E-3</v>
      </c>
      <c r="B45" s="16">
        <v>0.88738269030239836</v>
      </c>
      <c r="C45" s="16">
        <v>0.84699999999999998</v>
      </c>
      <c r="D45" s="16">
        <v>0.92</v>
      </c>
      <c r="E45" s="16">
        <v>0.48</v>
      </c>
      <c r="F45" s="16">
        <v>0.442</v>
      </c>
      <c r="G45" s="16">
        <v>0.39800000000000002</v>
      </c>
      <c r="H45" s="16">
        <v>0.59399999999999997</v>
      </c>
      <c r="I45" s="24">
        <v>0.65262609861462828</v>
      </c>
      <c r="J45" s="25">
        <v>0.39800000000000002</v>
      </c>
    </row>
    <row r="46" spans="1:10" x14ac:dyDescent="0.35">
      <c r="A46" s="23">
        <v>6.0000000000000001E-3</v>
      </c>
      <c r="B46" s="16">
        <v>0.84880083420229402</v>
      </c>
      <c r="C46" s="16">
        <v>0.88400000000000001</v>
      </c>
      <c r="D46" s="16">
        <v>0.91100000000000003</v>
      </c>
      <c r="E46" s="16">
        <v>0.442</v>
      </c>
      <c r="F46" s="16">
        <v>0.434</v>
      </c>
      <c r="G46" s="16">
        <v>0.45400000000000001</v>
      </c>
      <c r="H46" s="16">
        <v>0.59899999999999998</v>
      </c>
      <c r="I46" s="24">
        <v>0.65325726202889911</v>
      </c>
      <c r="J46" s="25">
        <v>0.434</v>
      </c>
    </row>
    <row r="47" spans="1:10" x14ac:dyDescent="0.35">
      <c r="A47" s="23">
        <v>7.0000000000000001E-3</v>
      </c>
      <c r="B47" s="16">
        <v>0.86652763295099067</v>
      </c>
      <c r="C47" s="16">
        <v>0.80400000000000005</v>
      </c>
      <c r="D47" s="16">
        <v>0.92300000000000004</v>
      </c>
      <c r="E47" s="16">
        <v>0.45</v>
      </c>
      <c r="F47" s="16">
        <v>0.377</v>
      </c>
      <c r="G47" s="16">
        <v>0.46400000000000002</v>
      </c>
      <c r="H47" s="16">
        <v>0.65900000000000003</v>
      </c>
      <c r="I47" s="24">
        <v>0.64907537613585575</v>
      </c>
      <c r="J47" s="25">
        <v>0.377</v>
      </c>
    </row>
    <row r="48" spans="1:10" x14ac:dyDescent="0.35">
      <c r="A48" s="23">
        <v>8.0000000000000002E-3</v>
      </c>
      <c r="B48" s="16">
        <v>0.85505735140771633</v>
      </c>
      <c r="C48" s="16">
        <v>0.81699999999999995</v>
      </c>
      <c r="D48" s="16">
        <v>0.92200000000000004</v>
      </c>
      <c r="E48" s="16">
        <v>0.436</v>
      </c>
      <c r="F48" s="16">
        <v>0.41499999999999998</v>
      </c>
      <c r="G48" s="16">
        <v>0.46600000000000003</v>
      </c>
      <c r="H48" s="16">
        <v>0.66700000000000004</v>
      </c>
      <c r="I48" s="24">
        <v>0.6540081930582452</v>
      </c>
      <c r="J48" s="25">
        <v>0.41499999999999998</v>
      </c>
    </row>
    <row r="49" spans="1:10" x14ac:dyDescent="0.35">
      <c r="A49" s="23">
        <v>8.9999999999999993E-3</v>
      </c>
      <c r="B49" s="16">
        <v>0.85818561001042748</v>
      </c>
      <c r="C49" s="16">
        <v>0.85199999999999998</v>
      </c>
      <c r="D49" s="16">
        <v>0.92</v>
      </c>
      <c r="E49" s="16">
        <v>0.36799999999999999</v>
      </c>
      <c r="F49" s="16">
        <v>0.50700000000000001</v>
      </c>
      <c r="G49" s="16">
        <v>0.36099999999999999</v>
      </c>
      <c r="H49" s="16">
        <v>0.66400000000000003</v>
      </c>
      <c r="I49" s="24">
        <v>0.64716937285863252</v>
      </c>
      <c r="J49" s="25">
        <v>0.36099999999999999</v>
      </c>
    </row>
    <row r="50" spans="1:10" x14ac:dyDescent="0.35">
      <c r="A50" s="23">
        <v>0.01</v>
      </c>
      <c r="B50" s="16">
        <v>0.83524504692387902</v>
      </c>
      <c r="C50" s="16">
        <v>0.85599999999999998</v>
      </c>
      <c r="D50" s="16">
        <v>0.92</v>
      </c>
      <c r="E50" s="16">
        <v>0.38</v>
      </c>
      <c r="F50" s="16">
        <v>0.45900000000000002</v>
      </c>
      <c r="G50" s="16">
        <v>0.44400000000000001</v>
      </c>
      <c r="H50" s="16">
        <v>0.67400000000000004</v>
      </c>
      <c r="I50" s="24">
        <v>0.65260643527483986</v>
      </c>
      <c r="J50" s="25">
        <v>0.38</v>
      </c>
    </row>
    <row r="51" spans="1:10" x14ac:dyDescent="0.35">
      <c r="A51" s="23">
        <v>1.0999999999999999E-2</v>
      </c>
      <c r="B51" s="16">
        <v>0.8435870698644421</v>
      </c>
      <c r="C51" s="16">
        <v>0.86099999999999999</v>
      </c>
      <c r="D51" s="16">
        <v>0.91900000000000004</v>
      </c>
      <c r="E51" s="16">
        <v>0.40400000000000003</v>
      </c>
      <c r="F51" s="16">
        <v>0.40100000000000002</v>
      </c>
      <c r="G51" s="16">
        <v>0.436</v>
      </c>
      <c r="H51" s="16">
        <v>0.64400000000000002</v>
      </c>
      <c r="I51" s="24">
        <v>0.64408386712349175</v>
      </c>
      <c r="J51" s="25">
        <v>0.40100000000000002</v>
      </c>
    </row>
    <row r="52" spans="1:10" x14ac:dyDescent="0.35">
      <c r="A52" s="23">
        <v>1.2E-2</v>
      </c>
      <c r="B52" s="16">
        <v>0.85818561001042748</v>
      </c>
      <c r="C52" s="16">
        <v>0.83299999999999996</v>
      </c>
      <c r="D52" s="16">
        <v>0.91800000000000004</v>
      </c>
      <c r="E52" s="16">
        <v>0.38500000000000001</v>
      </c>
      <c r="F52" s="16">
        <v>0.38</v>
      </c>
      <c r="G52" s="16">
        <v>0.44</v>
      </c>
      <c r="H52" s="16">
        <v>0.505</v>
      </c>
      <c r="I52" s="24">
        <v>0.61702651571577527</v>
      </c>
      <c r="J52" s="25">
        <v>0.38</v>
      </c>
    </row>
    <row r="53" spans="1:10" x14ac:dyDescent="0.35">
      <c r="A53" s="23">
        <v>1.2999999999999999E-2</v>
      </c>
      <c r="B53" s="16">
        <v>0.82898852971845671</v>
      </c>
      <c r="C53" s="16">
        <v>0.8</v>
      </c>
      <c r="D53" s="16">
        <v>0.92500000000000004</v>
      </c>
      <c r="E53" s="16">
        <v>0.34899999999999998</v>
      </c>
      <c r="F53" s="16">
        <v>0.55700000000000005</v>
      </c>
      <c r="G53" s="16">
        <v>0.312</v>
      </c>
      <c r="H53" s="16">
        <v>0.51600000000000001</v>
      </c>
      <c r="I53" s="24">
        <v>0.61256978995977962</v>
      </c>
      <c r="J53" s="25">
        <v>0.312</v>
      </c>
    </row>
    <row r="54" spans="1:10" x14ac:dyDescent="0.35">
      <c r="A54" s="23">
        <v>1.4E-2</v>
      </c>
      <c r="B54" s="16">
        <v>0.78310740354535979</v>
      </c>
      <c r="C54" s="16">
        <v>0.84399999999999997</v>
      </c>
      <c r="D54" s="16">
        <v>0.92200000000000004</v>
      </c>
      <c r="E54" s="16">
        <v>0.29199999999999998</v>
      </c>
      <c r="F54" s="16">
        <v>0.51400000000000001</v>
      </c>
      <c r="G54" s="16">
        <v>0.36399999999999999</v>
      </c>
      <c r="H54" s="16">
        <v>0.6</v>
      </c>
      <c r="I54" s="24">
        <v>0.61701534336362285</v>
      </c>
      <c r="J54" s="25">
        <v>0.29199999999999998</v>
      </c>
    </row>
    <row r="55" spans="1:10" x14ac:dyDescent="0.35">
      <c r="A55" s="23">
        <v>1.4999999999999999E-2</v>
      </c>
      <c r="B55" s="16">
        <v>0.78310740354535979</v>
      </c>
      <c r="C55" s="16">
        <v>0.84399999999999997</v>
      </c>
      <c r="D55" s="16">
        <v>0.92200000000000004</v>
      </c>
      <c r="E55" s="16">
        <v>0.29199999999999998</v>
      </c>
      <c r="F55" s="16">
        <v>0.51</v>
      </c>
      <c r="G55" s="16">
        <v>0.36699999999999999</v>
      </c>
      <c r="H55" s="16">
        <v>0.59799999999999998</v>
      </c>
      <c r="I55" s="24">
        <v>0.6165867719350514</v>
      </c>
      <c r="J55" s="25">
        <v>0.29199999999999998</v>
      </c>
    </row>
    <row r="56" spans="1:10" x14ac:dyDescent="0.35">
      <c r="A56" s="23">
        <v>1.6E-2</v>
      </c>
      <c r="B56" s="16">
        <v>0.82168925964546402</v>
      </c>
      <c r="C56" s="16">
        <v>0.84199999999999997</v>
      </c>
      <c r="D56" s="16">
        <v>0.91800000000000004</v>
      </c>
      <c r="E56" s="16">
        <v>0.35799999999999998</v>
      </c>
      <c r="F56" s="16">
        <v>0.36</v>
      </c>
      <c r="G56" s="16">
        <v>0.34599999999999997</v>
      </c>
      <c r="H56" s="16">
        <v>0.58499999999999996</v>
      </c>
      <c r="I56" s="24">
        <v>0.60438417994935201</v>
      </c>
      <c r="J56" s="25">
        <v>0.34599999999999997</v>
      </c>
    </row>
    <row r="57" spans="1:10" x14ac:dyDescent="0.35">
      <c r="A57" s="23">
        <v>1.7000000000000001E-2</v>
      </c>
      <c r="B57" s="16">
        <v>0.83837330552659017</v>
      </c>
      <c r="C57" s="16">
        <v>0.79900000000000004</v>
      </c>
      <c r="D57" s="16">
        <v>0.91800000000000004</v>
      </c>
      <c r="E57" s="16">
        <v>0.38900000000000001</v>
      </c>
      <c r="F57" s="16">
        <v>0.48599999999999999</v>
      </c>
      <c r="G57" s="16">
        <v>0.28199999999999997</v>
      </c>
      <c r="H57" s="16">
        <v>0.51800000000000002</v>
      </c>
      <c r="I57" s="24">
        <v>0.60433904364665569</v>
      </c>
      <c r="J57" s="25">
        <v>0.28199999999999997</v>
      </c>
    </row>
    <row r="58" spans="1:10" x14ac:dyDescent="0.35">
      <c r="A58" s="23">
        <v>1.7999999999999999E-2</v>
      </c>
      <c r="B58" s="16">
        <v>0.79040667361835248</v>
      </c>
      <c r="C58" s="16">
        <v>0.82299999999999995</v>
      </c>
      <c r="D58" s="16">
        <v>0.92100000000000004</v>
      </c>
      <c r="E58" s="16">
        <v>0.318</v>
      </c>
      <c r="F58" s="16">
        <v>0.36299999999999999</v>
      </c>
      <c r="G58" s="16">
        <v>0.32200000000000001</v>
      </c>
      <c r="H58" s="16">
        <v>0.64500000000000002</v>
      </c>
      <c r="I58" s="24">
        <v>0.59748666765976466</v>
      </c>
      <c r="J58" s="25">
        <v>0.318</v>
      </c>
    </row>
    <row r="59" spans="1:10" x14ac:dyDescent="0.35">
      <c r="A59" s="23">
        <v>1.9E-2</v>
      </c>
      <c r="B59" s="16">
        <v>0.74556830031282584</v>
      </c>
      <c r="C59" s="16">
        <v>0.85099999999999998</v>
      </c>
      <c r="D59" s="16">
        <v>0.92</v>
      </c>
      <c r="E59" s="16">
        <v>0.27200000000000002</v>
      </c>
      <c r="F59" s="16">
        <v>0.28999999999999998</v>
      </c>
      <c r="G59" s="16">
        <v>0.38200000000000001</v>
      </c>
      <c r="H59" s="16">
        <v>0.59899999999999998</v>
      </c>
      <c r="I59" s="24">
        <v>0.57993832861611794</v>
      </c>
      <c r="J59" s="25">
        <v>0.27200000000000002</v>
      </c>
    </row>
    <row r="60" spans="1:10" x14ac:dyDescent="0.35">
      <c r="A60" s="23">
        <v>0.02</v>
      </c>
      <c r="B60" s="16">
        <v>0.75078206465067776</v>
      </c>
      <c r="C60" s="16">
        <v>0.77900000000000003</v>
      </c>
      <c r="D60" s="16">
        <v>0.92100000000000004</v>
      </c>
      <c r="E60" s="16">
        <v>0.32700000000000001</v>
      </c>
      <c r="F60" s="16">
        <v>0.30199999999999999</v>
      </c>
      <c r="G60" s="16">
        <v>0.315</v>
      </c>
      <c r="H60" s="16">
        <v>0.55800000000000005</v>
      </c>
      <c r="I60" s="24">
        <v>0.56468315209295394</v>
      </c>
      <c r="J60" s="25">
        <v>0.30199999999999999</v>
      </c>
    </row>
    <row r="61" spans="1:10" x14ac:dyDescent="0.35">
      <c r="A61" s="23">
        <v>2.1000000000000001E-2</v>
      </c>
      <c r="B61" s="16">
        <v>0.74765380604796661</v>
      </c>
      <c r="C61" s="16">
        <v>0.76600000000000001</v>
      </c>
      <c r="D61" s="16">
        <v>0.92100000000000004</v>
      </c>
      <c r="E61" s="16">
        <v>0.28799999999999998</v>
      </c>
      <c r="F61" s="16">
        <v>0.35099999999999998</v>
      </c>
      <c r="G61" s="16">
        <v>0.27</v>
      </c>
      <c r="H61" s="16">
        <v>0.61</v>
      </c>
      <c r="I61" s="24">
        <v>0.56480768657828095</v>
      </c>
      <c r="J61" s="25">
        <v>0.27</v>
      </c>
    </row>
    <row r="62" spans="1:10" x14ac:dyDescent="0.35">
      <c r="A62" s="23">
        <v>2.1999999999999999E-2</v>
      </c>
      <c r="B62" s="16">
        <v>0.69551616266944738</v>
      </c>
      <c r="C62" s="16">
        <v>0.82299999999999995</v>
      </c>
      <c r="D62" s="16">
        <v>0.92</v>
      </c>
      <c r="E62" s="16">
        <v>0.27200000000000002</v>
      </c>
      <c r="F62" s="16">
        <v>0.375</v>
      </c>
      <c r="G62" s="16">
        <v>0.255</v>
      </c>
      <c r="H62" s="16">
        <v>0.59499999999999997</v>
      </c>
      <c r="I62" s="24">
        <v>0.56221659466706397</v>
      </c>
      <c r="J62" s="25">
        <v>0.255</v>
      </c>
    </row>
    <row r="63" spans="1:10" x14ac:dyDescent="0.35">
      <c r="A63" s="23">
        <v>2.3E-2</v>
      </c>
      <c r="B63" s="16">
        <v>0.69551616266944738</v>
      </c>
      <c r="C63" s="16">
        <v>0.82399999999999995</v>
      </c>
      <c r="D63" s="16">
        <v>0.92</v>
      </c>
      <c r="E63" s="16">
        <v>0.27400000000000002</v>
      </c>
      <c r="F63" s="16">
        <v>0.378</v>
      </c>
      <c r="G63" s="16">
        <v>0.252</v>
      </c>
      <c r="H63" s="16">
        <v>0.59399999999999997</v>
      </c>
      <c r="I63" s="24">
        <v>0.5625023089527782</v>
      </c>
      <c r="J63" s="25">
        <v>0.252</v>
      </c>
    </row>
    <row r="64" spans="1:10" x14ac:dyDescent="0.35">
      <c r="A64" s="23">
        <v>2.4E-2</v>
      </c>
      <c r="B64" s="16">
        <v>0.7007299270072993</v>
      </c>
      <c r="C64" s="16">
        <v>0.79800000000000004</v>
      </c>
      <c r="D64" s="16">
        <v>0.92300000000000004</v>
      </c>
      <c r="E64" s="16">
        <v>0.23599999999999999</v>
      </c>
      <c r="F64" s="16">
        <v>0.374</v>
      </c>
      <c r="G64" s="16">
        <v>0.26400000000000001</v>
      </c>
      <c r="H64" s="16">
        <v>0.67700000000000005</v>
      </c>
      <c r="I64" s="24">
        <v>0.56753284671532855</v>
      </c>
      <c r="J64" s="25">
        <v>0.23599999999999999</v>
      </c>
    </row>
    <row r="65" spans="1:10" x14ac:dyDescent="0.35">
      <c r="A65" s="23">
        <v>2.5000000000000001E-2</v>
      </c>
      <c r="B65" s="16">
        <v>0.69238790406673623</v>
      </c>
      <c r="C65" s="16">
        <v>0.82499999999999996</v>
      </c>
      <c r="D65" s="16">
        <v>0.92</v>
      </c>
      <c r="E65" s="16">
        <v>0.27500000000000002</v>
      </c>
      <c r="F65" s="16">
        <v>0.372</v>
      </c>
      <c r="G65" s="16">
        <v>0.247</v>
      </c>
      <c r="H65" s="16">
        <v>0.58399999999999996</v>
      </c>
      <c r="I65" s="24">
        <v>0.55934112915239087</v>
      </c>
      <c r="J65" s="25">
        <v>0.247</v>
      </c>
    </row>
    <row r="66" spans="1:10" x14ac:dyDescent="0.35">
      <c r="A66" s="23">
        <v>2.5999999999999999E-2</v>
      </c>
      <c r="B66" s="16">
        <v>0.73305526590198122</v>
      </c>
      <c r="C66" s="16">
        <v>0.8</v>
      </c>
      <c r="D66" s="16">
        <v>0.91900000000000004</v>
      </c>
      <c r="E66" s="16">
        <v>0.28999999999999998</v>
      </c>
      <c r="F66" s="16">
        <v>0.26900000000000002</v>
      </c>
      <c r="G66" s="16">
        <v>0.316</v>
      </c>
      <c r="H66" s="16">
        <v>0.58399999999999996</v>
      </c>
      <c r="I66" s="24">
        <v>0.55872218084314018</v>
      </c>
      <c r="J66" s="25">
        <v>0.26900000000000002</v>
      </c>
    </row>
    <row r="67" spans="1:10" x14ac:dyDescent="0.35">
      <c r="A67" s="23">
        <v>2.7E-2</v>
      </c>
      <c r="B67" s="16">
        <v>0.73514077163712199</v>
      </c>
      <c r="C67" s="16">
        <v>0.755</v>
      </c>
      <c r="D67" s="16">
        <v>0.92100000000000004</v>
      </c>
      <c r="E67" s="16">
        <v>0.28899999999999998</v>
      </c>
      <c r="F67" s="16">
        <v>0.246</v>
      </c>
      <c r="G67" s="16">
        <v>0.309</v>
      </c>
      <c r="H67" s="16">
        <v>0.64700000000000002</v>
      </c>
      <c r="I67" s="24">
        <v>0.55744868166244599</v>
      </c>
      <c r="J67" s="25">
        <v>0.246</v>
      </c>
    </row>
    <row r="68" spans="1:10" x14ac:dyDescent="0.35">
      <c r="A68" s="23">
        <v>2.8000000000000001E-2</v>
      </c>
      <c r="B68" s="16">
        <v>0.70281543274244007</v>
      </c>
      <c r="C68" s="16">
        <v>0.751</v>
      </c>
      <c r="D68" s="16">
        <v>0.92300000000000004</v>
      </c>
      <c r="E68" s="16">
        <v>0.219</v>
      </c>
      <c r="F68" s="16">
        <v>0.26200000000000001</v>
      </c>
      <c r="G68" s="16">
        <v>0.441</v>
      </c>
      <c r="H68" s="16">
        <v>0.58799999999999997</v>
      </c>
      <c r="I68" s="24">
        <v>0.55525934753463424</v>
      </c>
      <c r="J68" s="25">
        <v>0.219</v>
      </c>
    </row>
    <row r="69" spans="1:10" x14ac:dyDescent="0.35">
      <c r="A69" s="23">
        <v>2.9000000000000001E-2</v>
      </c>
      <c r="B69" s="16">
        <v>0.73409801876955161</v>
      </c>
      <c r="C69" s="16">
        <v>0.72699999999999998</v>
      </c>
      <c r="D69" s="16">
        <v>0.91900000000000004</v>
      </c>
      <c r="E69" s="16">
        <v>0.29899999999999999</v>
      </c>
      <c r="F69" s="16">
        <v>0.22800000000000001</v>
      </c>
      <c r="G69" s="16">
        <v>0.34699999999999998</v>
      </c>
      <c r="H69" s="16">
        <v>0.56499999999999995</v>
      </c>
      <c r="I69" s="24">
        <v>0.54558543125279313</v>
      </c>
      <c r="J69" s="25">
        <v>0.22800000000000001</v>
      </c>
    </row>
    <row r="70" spans="1:10" x14ac:dyDescent="0.35">
      <c r="A70" s="23">
        <v>0.03</v>
      </c>
      <c r="B70" s="16">
        <v>0.73722627737226276</v>
      </c>
      <c r="C70" s="16">
        <v>0.72299999999999998</v>
      </c>
      <c r="D70" s="16">
        <v>0.91900000000000004</v>
      </c>
      <c r="E70" s="16">
        <v>0.29499999999999998</v>
      </c>
      <c r="F70" s="16">
        <v>0.22600000000000001</v>
      </c>
      <c r="G70" s="16">
        <v>0.34599999999999997</v>
      </c>
      <c r="H70" s="16">
        <v>0.57099999999999995</v>
      </c>
      <c r="I70" s="24">
        <v>0.54531803962460901</v>
      </c>
      <c r="J70" s="25">
        <v>0.22600000000000001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1"/>
  <sheetViews>
    <sheetView workbookViewId="0"/>
  </sheetViews>
  <sheetFormatPr defaultRowHeight="14.5" x14ac:dyDescent="0.35"/>
  <cols>
    <col min="1" max="1" width="12" customWidth="1"/>
    <col min="2" max="10" width="9" customWidth="1"/>
  </cols>
  <sheetData>
    <row r="1" spans="1:10" ht="18.5" x14ac:dyDescent="0.45">
      <c r="A1" s="8" t="s">
        <v>158</v>
      </c>
    </row>
    <row r="3" spans="1:10" x14ac:dyDescent="0.35">
      <c r="A3" s="26" t="s">
        <v>159</v>
      </c>
    </row>
    <row r="4" spans="1:10" x14ac:dyDescent="0.35">
      <c r="A4" s="9" t="s">
        <v>160</v>
      </c>
      <c r="B4" s="9" t="s">
        <v>148</v>
      </c>
      <c r="C4" s="9" t="s">
        <v>149</v>
      </c>
      <c r="D4" s="9" t="s">
        <v>150</v>
      </c>
      <c r="E4" s="9" t="s">
        <v>151</v>
      </c>
      <c r="F4" s="9" t="s">
        <v>152</v>
      </c>
      <c r="G4" s="9" t="s">
        <v>153</v>
      </c>
      <c r="H4" s="9" t="s">
        <v>154</v>
      </c>
      <c r="I4" s="9" t="s">
        <v>123</v>
      </c>
      <c r="J4" s="9" t="s">
        <v>161</v>
      </c>
    </row>
    <row r="5" spans="1:10" x14ac:dyDescent="0.35">
      <c r="A5" s="27" t="s">
        <v>148</v>
      </c>
      <c r="B5" s="28">
        <v>854</v>
      </c>
      <c r="C5" s="11">
        <v>43</v>
      </c>
      <c r="D5" s="11">
        <v>17</v>
      </c>
      <c r="E5" s="11">
        <v>28</v>
      </c>
      <c r="F5" s="11">
        <v>11</v>
      </c>
      <c r="G5" s="11">
        <v>3</v>
      </c>
      <c r="H5" s="11">
        <v>4</v>
      </c>
      <c r="I5" s="11">
        <v>960</v>
      </c>
      <c r="J5" s="16">
        <v>0.88958333333333328</v>
      </c>
    </row>
    <row r="6" spans="1:10" x14ac:dyDescent="0.35">
      <c r="A6" s="27" t="s">
        <v>149</v>
      </c>
      <c r="B6" s="11">
        <v>42</v>
      </c>
      <c r="C6" s="28">
        <v>879</v>
      </c>
      <c r="D6" s="11">
        <v>73</v>
      </c>
      <c r="E6" s="11">
        <v>0</v>
      </c>
      <c r="F6" s="11">
        <v>6</v>
      </c>
      <c r="G6" s="11">
        <v>0</v>
      </c>
      <c r="H6" s="11">
        <v>0</v>
      </c>
      <c r="I6" s="11">
        <v>1000</v>
      </c>
      <c r="J6" s="16">
        <v>0.879</v>
      </c>
    </row>
    <row r="7" spans="1:10" x14ac:dyDescent="0.35">
      <c r="A7" s="27" t="s">
        <v>150</v>
      </c>
      <c r="B7" s="11">
        <v>8</v>
      </c>
      <c r="C7" s="11">
        <v>66</v>
      </c>
      <c r="D7" s="28">
        <v>904</v>
      </c>
      <c r="E7" s="11">
        <v>2</v>
      </c>
      <c r="F7" s="11">
        <v>12</v>
      </c>
      <c r="G7" s="11">
        <v>0</v>
      </c>
      <c r="H7" s="11">
        <v>8</v>
      </c>
      <c r="I7" s="11">
        <v>1000</v>
      </c>
      <c r="J7" s="16">
        <v>0.90400000000000003</v>
      </c>
    </row>
    <row r="8" spans="1:10" x14ac:dyDescent="0.35">
      <c r="A8" s="27" t="s">
        <v>151</v>
      </c>
      <c r="B8" s="11">
        <v>40</v>
      </c>
      <c r="C8" s="11">
        <v>0</v>
      </c>
      <c r="D8" s="11">
        <v>4</v>
      </c>
      <c r="E8" s="28">
        <v>476</v>
      </c>
      <c r="F8" s="11">
        <v>107</v>
      </c>
      <c r="G8" s="11">
        <v>88</v>
      </c>
      <c r="H8" s="11">
        <v>285</v>
      </c>
      <c r="I8" s="11">
        <v>1000</v>
      </c>
      <c r="J8" s="16">
        <v>0.47599999999999998</v>
      </c>
    </row>
    <row r="9" spans="1:10" x14ac:dyDescent="0.35">
      <c r="A9" s="27" t="s">
        <v>152</v>
      </c>
      <c r="B9" s="11">
        <v>16</v>
      </c>
      <c r="C9" s="11">
        <v>4</v>
      </c>
      <c r="D9" s="11">
        <v>82</v>
      </c>
      <c r="E9" s="11">
        <v>144</v>
      </c>
      <c r="F9" s="28">
        <v>503</v>
      </c>
      <c r="G9" s="11">
        <v>196</v>
      </c>
      <c r="H9" s="11">
        <v>55</v>
      </c>
      <c r="I9" s="11">
        <v>1000</v>
      </c>
      <c r="J9" s="16">
        <v>0.503</v>
      </c>
    </row>
    <row r="10" spans="1:10" x14ac:dyDescent="0.35">
      <c r="A10" s="27" t="s">
        <v>153</v>
      </c>
      <c r="B10" s="11">
        <v>7</v>
      </c>
      <c r="C10" s="11">
        <v>3</v>
      </c>
      <c r="D10" s="11">
        <v>12</v>
      </c>
      <c r="E10" s="11">
        <v>134</v>
      </c>
      <c r="F10" s="11">
        <v>235</v>
      </c>
      <c r="G10" s="28">
        <v>426</v>
      </c>
      <c r="H10" s="11">
        <v>183</v>
      </c>
      <c r="I10" s="11">
        <v>1000</v>
      </c>
      <c r="J10" s="16">
        <v>0.42599999999999999</v>
      </c>
    </row>
    <row r="11" spans="1:10" x14ac:dyDescent="0.35">
      <c r="A11" s="27" t="s">
        <v>154</v>
      </c>
      <c r="B11" s="11">
        <v>2</v>
      </c>
      <c r="C11" s="11">
        <v>0</v>
      </c>
      <c r="D11" s="11">
        <v>12</v>
      </c>
      <c r="E11" s="11">
        <v>226</v>
      </c>
      <c r="F11" s="11">
        <v>45</v>
      </c>
      <c r="G11" s="11">
        <v>63</v>
      </c>
      <c r="H11" s="28">
        <v>652</v>
      </c>
      <c r="I11" s="11">
        <v>1000</v>
      </c>
      <c r="J11" s="16">
        <v>0.65200000000000002</v>
      </c>
    </row>
    <row r="13" spans="1:10" x14ac:dyDescent="0.35">
      <c r="A13" s="26" t="s">
        <v>162</v>
      </c>
    </row>
    <row r="14" spans="1:10" x14ac:dyDescent="0.35">
      <c r="A14" s="9" t="s">
        <v>160</v>
      </c>
      <c r="B14" s="9" t="s">
        <v>148</v>
      </c>
      <c r="C14" s="9" t="s">
        <v>149</v>
      </c>
      <c r="D14" s="9" t="s">
        <v>150</v>
      </c>
      <c r="E14" s="9" t="s">
        <v>151</v>
      </c>
      <c r="F14" s="9" t="s">
        <v>152</v>
      </c>
      <c r="G14" s="9" t="s">
        <v>153</v>
      </c>
      <c r="H14" s="9" t="s">
        <v>154</v>
      </c>
      <c r="I14" s="9" t="s">
        <v>123</v>
      </c>
      <c r="J14" s="9" t="s">
        <v>161</v>
      </c>
    </row>
    <row r="15" spans="1:10" x14ac:dyDescent="0.35">
      <c r="A15" s="27" t="s">
        <v>148</v>
      </c>
      <c r="B15" s="28">
        <v>836</v>
      </c>
      <c r="C15" s="11">
        <v>59</v>
      </c>
      <c r="D15" s="11">
        <v>18</v>
      </c>
      <c r="E15" s="11">
        <v>29</v>
      </c>
      <c r="F15" s="11">
        <v>12</v>
      </c>
      <c r="G15" s="11">
        <v>3</v>
      </c>
      <c r="H15" s="11">
        <v>3</v>
      </c>
      <c r="I15" s="11">
        <v>960</v>
      </c>
      <c r="J15" s="16">
        <v>0.87083333333333335</v>
      </c>
    </row>
    <row r="16" spans="1:10" x14ac:dyDescent="0.35">
      <c r="A16" s="27" t="s">
        <v>149</v>
      </c>
      <c r="B16" s="11">
        <v>33</v>
      </c>
      <c r="C16" s="28">
        <v>887</v>
      </c>
      <c r="D16" s="11">
        <v>74</v>
      </c>
      <c r="E16" s="11">
        <v>0</v>
      </c>
      <c r="F16" s="11">
        <v>6</v>
      </c>
      <c r="G16" s="11">
        <v>0</v>
      </c>
      <c r="H16" s="11">
        <v>0</v>
      </c>
      <c r="I16" s="11">
        <v>1000</v>
      </c>
      <c r="J16" s="16">
        <v>0.88700000000000001</v>
      </c>
    </row>
    <row r="17" spans="1:10" x14ac:dyDescent="0.35">
      <c r="A17" s="27" t="s">
        <v>150</v>
      </c>
      <c r="B17" s="11">
        <v>6</v>
      </c>
      <c r="C17" s="11">
        <v>69</v>
      </c>
      <c r="D17" s="28">
        <v>903</v>
      </c>
      <c r="E17" s="11">
        <v>2</v>
      </c>
      <c r="F17" s="11">
        <v>13</v>
      </c>
      <c r="G17" s="11">
        <v>0</v>
      </c>
      <c r="H17" s="11">
        <v>7</v>
      </c>
      <c r="I17" s="11">
        <v>1000</v>
      </c>
      <c r="J17" s="16">
        <v>0.90300000000000002</v>
      </c>
    </row>
    <row r="18" spans="1:10" x14ac:dyDescent="0.35">
      <c r="A18" s="27" t="s">
        <v>151</v>
      </c>
      <c r="B18" s="11">
        <v>41</v>
      </c>
      <c r="C18" s="11">
        <v>0</v>
      </c>
      <c r="D18" s="11">
        <v>4</v>
      </c>
      <c r="E18" s="28">
        <v>510</v>
      </c>
      <c r="F18" s="11">
        <v>93</v>
      </c>
      <c r="G18" s="11">
        <v>125</v>
      </c>
      <c r="H18" s="11">
        <v>227</v>
      </c>
      <c r="I18" s="11">
        <v>1000</v>
      </c>
      <c r="J18" s="16">
        <v>0.51</v>
      </c>
    </row>
    <row r="19" spans="1:10" x14ac:dyDescent="0.35">
      <c r="A19" s="27" t="s">
        <v>152</v>
      </c>
      <c r="B19" s="11">
        <v>14</v>
      </c>
      <c r="C19" s="11">
        <v>5</v>
      </c>
      <c r="D19" s="11">
        <v>83</v>
      </c>
      <c r="E19" s="11">
        <v>137</v>
      </c>
      <c r="F19" s="28">
        <v>471</v>
      </c>
      <c r="G19" s="11">
        <v>247</v>
      </c>
      <c r="H19" s="11">
        <v>43</v>
      </c>
      <c r="I19" s="11">
        <v>1000</v>
      </c>
      <c r="J19" s="16">
        <v>0.47099999999999997</v>
      </c>
    </row>
    <row r="20" spans="1:10" x14ac:dyDescent="0.35">
      <c r="A20" s="27" t="s">
        <v>153</v>
      </c>
      <c r="B20" s="11">
        <v>9</v>
      </c>
      <c r="C20" s="11">
        <v>4</v>
      </c>
      <c r="D20" s="11">
        <v>11</v>
      </c>
      <c r="E20" s="11">
        <v>150</v>
      </c>
      <c r="F20" s="11">
        <v>200</v>
      </c>
      <c r="G20" s="28">
        <v>482</v>
      </c>
      <c r="H20" s="11">
        <v>144</v>
      </c>
      <c r="I20" s="11">
        <v>1000</v>
      </c>
      <c r="J20" s="16">
        <v>0.48199999999999998</v>
      </c>
    </row>
    <row r="21" spans="1:10" x14ac:dyDescent="0.35">
      <c r="A21" s="27" t="s">
        <v>154</v>
      </c>
      <c r="B21" s="11">
        <v>1</v>
      </c>
      <c r="C21" s="11">
        <v>0</v>
      </c>
      <c r="D21" s="11">
        <v>13</v>
      </c>
      <c r="E21" s="11">
        <v>286</v>
      </c>
      <c r="F21" s="11">
        <v>43</v>
      </c>
      <c r="G21" s="11">
        <v>93</v>
      </c>
      <c r="H21" s="28">
        <v>564</v>
      </c>
      <c r="I21" s="11">
        <v>1000</v>
      </c>
      <c r="J21" s="16">
        <v>0.56399999999999995</v>
      </c>
    </row>
    <row r="23" spans="1:10" x14ac:dyDescent="0.35">
      <c r="A23" s="26" t="s">
        <v>163</v>
      </c>
    </row>
    <row r="24" spans="1:10" x14ac:dyDescent="0.35">
      <c r="A24" s="9" t="s">
        <v>160</v>
      </c>
      <c r="B24" s="9" t="s">
        <v>148</v>
      </c>
      <c r="C24" s="9" t="s">
        <v>149</v>
      </c>
      <c r="D24" s="9" t="s">
        <v>150</v>
      </c>
      <c r="E24" s="9" t="s">
        <v>151</v>
      </c>
      <c r="F24" s="9" t="s">
        <v>152</v>
      </c>
      <c r="G24" s="9" t="s">
        <v>153</v>
      </c>
      <c r="H24" s="9" t="s">
        <v>154</v>
      </c>
      <c r="I24" s="9" t="s">
        <v>123</v>
      </c>
      <c r="J24" s="9" t="s">
        <v>161</v>
      </c>
    </row>
    <row r="25" spans="1:10" x14ac:dyDescent="0.35">
      <c r="A25" s="27" t="s">
        <v>148</v>
      </c>
      <c r="B25" s="28">
        <v>829</v>
      </c>
      <c r="C25" s="11">
        <v>64</v>
      </c>
      <c r="D25" s="11">
        <v>19</v>
      </c>
      <c r="E25" s="11">
        <v>29</v>
      </c>
      <c r="F25" s="11">
        <v>12</v>
      </c>
      <c r="G25" s="11">
        <v>3</v>
      </c>
      <c r="H25" s="11">
        <v>4</v>
      </c>
      <c r="I25" s="11">
        <v>960</v>
      </c>
      <c r="J25" s="16">
        <v>0.86354166666666665</v>
      </c>
    </row>
    <row r="26" spans="1:10" x14ac:dyDescent="0.35">
      <c r="A26" s="27" t="s">
        <v>149</v>
      </c>
      <c r="B26" s="11">
        <v>30</v>
      </c>
      <c r="C26" s="28">
        <v>889</v>
      </c>
      <c r="D26" s="11">
        <v>75</v>
      </c>
      <c r="E26" s="11">
        <v>0</v>
      </c>
      <c r="F26" s="11">
        <v>6</v>
      </c>
      <c r="G26" s="11">
        <v>0</v>
      </c>
      <c r="H26" s="11">
        <v>0</v>
      </c>
      <c r="I26" s="11">
        <v>1000</v>
      </c>
      <c r="J26" s="16">
        <v>0.88900000000000001</v>
      </c>
    </row>
    <row r="27" spans="1:10" x14ac:dyDescent="0.35">
      <c r="A27" s="27" t="s">
        <v>150</v>
      </c>
      <c r="B27" s="11">
        <v>6</v>
      </c>
      <c r="C27" s="11">
        <v>69</v>
      </c>
      <c r="D27" s="28">
        <v>903</v>
      </c>
      <c r="E27" s="11">
        <v>2</v>
      </c>
      <c r="F27" s="11">
        <v>13</v>
      </c>
      <c r="G27" s="11">
        <v>0</v>
      </c>
      <c r="H27" s="11">
        <v>7</v>
      </c>
      <c r="I27" s="11">
        <v>1000</v>
      </c>
      <c r="J27" s="16">
        <v>0.90300000000000002</v>
      </c>
    </row>
    <row r="28" spans="1:10" x14ac:dyDescent="0.35">
      <c r="A28" s="27" t="s">
        <v>151</v>
      </c>
      <c r="B28" s="11">
        <v>38</v>
      </c>
      <c r="C28" s="11">
        <v>0</v>
      </c>
      <c r="D28" s="11">
        <v>4</v>
      </c>
      <c r="E28" s="28">
        <v>496</v>
      </c>
      <c r="F28" s="11">
        <v>103</v>
      </c>
      <c r="G28" s="11">
        <v>135</v>
      </c>
      <c r="H28" s="11">
        <v>224</v>
      </c>
      <c r="I28" s="11">
        <v>1000</v>
      </c>
      <c r="J28" s="16">
        <v>0.496</v>
      </c>
    </row>
    <row r="29" spans="1:10" x14ac:dyDescent="0.35">
      <c r="A29" s="27" t="s">
        <v>152</v>
      </c>
      <c r="B29" s="11">
        <v>13</v>
      </c>
      <c r="C29" s="11">
        <v>5</v>
      </c>
      <c r="D29" s="11">
        <v>85</v>
      </c>
      <c r="E29" s="11">
        <v>132</v>
      </c>
      <c r="F29" s="28">
        <v>467</v>
      </c>
      <c r="G29" s="11">
        <v>258</v>
      </c>
      <c r="H29" s="11">
        <v>40</v>
      </c>
      <c r="I29" s="11">
        <v>1000</v>
      </c>
      <c r="J29" s="16">
        <v>0.46700000000000003</v>
      </c>
    </row>
    <row r="30" spans="1:10" x14ac:dyDescent="0.35">
      <c r="A30" s="27" t="s">
        <v>153</v>
      </c>
      <c r="B30" s="11">
        <v>7</v>
      </c>
      <c r="C30" s="11">
        <v>4</v>
      </c>
      <c r="D30" s="11">
        <v>10</v>
      </c>
      <c r="E30" s="11">
        <v>143</v>
      </c>
      <c r="F30" s="11">
        <v>211</v>
      </c>
      <c r="G30" s="28">
        <v>484</v>
      </c>
      <c r="H30" s="11">
        <v>141</v>
      </c>
      <c r="I30" s="11">
        <v>1000</v>
      </c>
      <c r="J30" s="16">
        <v>0.48399999999999999</v>
      </c>
    </row>
    <row r="31" spans="1:10" x14ac:dyDescent="0.35">
      <c r="A31" s="27" t="s">
        <v>154</v>
      </c>
      <c r="B31" s="11">
        <v>3</v>
      </c>
      <c r="C31" s="11">
        <v>0</v>
      </c>
      <c r="D31" s="11">
        <v>13</v>
      </c>
      <c r="E31" s="11">
        <v>287</v>
      </c>
      <c r="F31" s="11">
        <v>42</v>
      </c>
      <c r="G31" s="11">
        <v>104</v>
      </c>
      <c r="H31" s="28">
        <v>551</v>
      </c>
      <c r="I31" s="11">
        <v>1000</v>
      </c>
      <c r="J31" s="16">
        <v>0.55100000000000005</v>
      </c>
    </row>
    <row r="33" spans="1:10" x14ac:dyDescent="0.35">
      <c r="A33" s="26" t="s">
        <v>164</v>
      </c>
    </row>
    <row r="34" spans="1:10" x14ac:dyDescent="0.35">
      <c r="A34" s="9" t="s">
        <v>160</v>
      </c>
      <c r="B34" s="9" t="s">
        <v>148</v>
      </c>
      <c r="C34" s="9" t="s">
        <v>149</v>
      </c>
      <c r="D34" s="9" t="s">
        <v>150</v>
      </c>
      <c r="E34" s="9" t="s">
        <v>151</v>
      </c>
      <c r="F34" s="9" t="s">
        <v>152</v>
      </c>
      <c r="G34" s="9" t="s">
        <v>153</v>
      </c>
      <c r="H34" s="9" t="s">
        <v>154</v>
      </c>
      <c r="I34" s="9" t="s">
        <v>123</v>
      </c>
      <c r="J34" s="9" t="s">
        <v>161</v>
      </c>
    </row>
    <row r="35" spans="1:10" x14ac:dyDescent="0.35">
      <c r="A35" s="27" t="s">
        <v>148</v>
      </c>
      <c r="B35" s="28">
        <v>816</v>
      </c>
      <c r="C35" s="11">
        <v>66</v>
      </c>
      <c r="D35" s="11">
        <v>22</v>
      </c>
      <c r="E35" s="11">
        <v>37</v>
      </c>
      <c r="F35" s="11">
        <v>10</v>
      </c>
      <c r="G35" s="11">
        <v>3</v>
      </c>
      <c r="H35" s="11">
        <v>6</v>
      </c>
      <c r="I35" s="11">
        <v>960</v>
      </c>
      <c r="J35" s="16">
        <v>0.85</v>
      </c>
    </row>
    <row r="36" spans="1:10" x14ac:dyDescent="0.35">
      <c r="A36" s="27" t="s">
        <v>149</v>
      </c>
      <c r="B36" s="11">
        <v>36</v>
      </c>
      <c r="C36" s="28">
        <v>863</v>
      </c>
      <c r="D36" s="11">
        <v>91</v>
      </c>
      <c r="E36" s="11">
        <v>0</v>
      </c>
      <c r="F36" s="11">
        <v>10</v>
      </c>
      <c r="G36" s="11">
        <v>0</v>
      </c>
      <c r="H36" s="11">
        <v>0</v>
      </c>
      <c r="I36" s="11">
        <v>1000</v>
      </c>
      <c r="J36" s="16">
        <v>0.86299999999999999</v>
      </c>
    </row>
    <row r="37" spans="1:10" x14ac:dyDescent="0.35">
      <c r="A37" s="27" t="s">
        <v>150</v>
      </c>
      <c r="B37" s="11">
        <v>7</v>
      </c>
      <c r="C37" s="11">
        <v>66</v>
      </c>
      <c r="D37" s="28">
        <v>907</v>
      </c>
      <c r="E37" s="11">
        <v>2</v>
      </c>
      <c r="F37" s="11">
        <v>10</v>
      </c>
      <c r="G37" s="11">
        <v>0</v>
      </c>
      <c r="H37" s="11">
        <v>8</v>
      </c>
      <c r="I37" s="11">
        <v>1000</v>
      </c>
      <c r="J37" s="16">
        <v>0.90700000000000003</v>
      </c>
    </row>
    <row r="38" spans="1:10" x14ac:dyDescent="0.35">
      <c r="A38" s="27" t="s">
        <v>151</v>
      </c>
      <c r="B38" s="11">
        <v>35</v>
      </c>
      <c r="C38" s="11">
        <v>0</v>
      </c>
      <c r="D38" s="11">
        <v>5</v>
      </c>
      <c r="E38" s="28">
        <v>460</v>
      </c>
      <c r="F38" s="11">
        <v>123</v>
      </c>
      <c r="G38" s="11">
        <v>122</v>
      </c>
      <c r="H38" s="11">
        <v>255</v>
      </c>
      <c r="I38" s="11">
        <v>1000</v>
      </c>
      <c r="J38" s="16">
        <v>0.46</v>
      </c>
    </row>
    <row r="39" spans="1:10" x14ac:dyDescent="0.35">
      <c r="A39" s="27" t="s">
        <v>152</v>
      </c>
      <c r="B39" s="11">
        <v>13</v>
      </c>
      <c r="C39" s="11">
        <v>5</v>
      </c>
      <c r="D39" s="11">
        <v>88</v>
      </c>
      <c r="E39" s="11">
        <v>123</v>
      </c>
      <c r="F39" s="28">
        <v>485</v>
      </c>
      <c r="G39" s="11">
        <v>232</v>
      </c>
      <c r="H39" s="11">
        <v>54</v>
      </c>
      <c r="I39" s="11">
        <v>1000</v>
      </c>
      <c r="J39" s="16">
        <v>0.48499999999999999</v>
      </c>
    </row>
    <row r="40" spans="1:10" x14ac:dyDescent="0.35">
      <c r="A40" s="27" t="s">
        <v>153</v>
      </c>
      <c r="B40" s="11">
        <v>6</v>
      </c>
      <c r="C40" s="11">
        <v>4</v>
      </c>
      <c r="D40" s="11">
        <v>12</v>
      </c>
      <c r="E40" s="11">
        <v>136</v>
      </c>
      <c r="F40" s="11">
        <v>224</v>
      </c>
      <c r="G40" s="28">
        <v>450</v>
      </c>
      <c r="H40" s="11">
        <v>168</v>
      </c>
      <c r="I40" s="11">
        <v>1000</v>
      </c>
      <c r="J40" s="16">
        <v>0.45</v>
      </c>
    </row>
    <row r="41" spans="1:10" x14ac:dyDescent="0.35">
      <c r="A41" s="27" t="s">
        <v>154</v>
      </c>
      <c r="B41" s="11">
        <v>1</v>
      </c>
      <c r="C41" s="11">
        <v>0</v>
      </c>
      <c r="D41" s="11">
        <v>22</v>
      </c>
      <c r="E41" s="11">
        <v>249</v>
      </c>
      <c r="F41" s="11">
        <v>43</v>
      </c>
      <c r="G41" s="11">
        <v>96</v>
      </c>
      <c r="H41" s="28">
        <v>589</v>
      </c>
      <c r="I41" s="11">
        <v>1000</v>
      </c>
      <c r="J41" s="16">
        <v>0.58899999999999997</v>
      </c>
    </row>
    <row r="43" spans="1:10" x14ac:dyDescent="0.35">
      <c r="A43" s="26" t="s">
        <v>165</v>
      </c>
    </row>
    <row r="44" spans="1:10" x14ac:dyDescent="0.35">
      <c r="A44" s="9" t="s">
        <v>160</v>
      </c>
      <c r="B44" s="9" t="s">
        <v>148</v>
      </c>
      <c r="C44" s="9" t="s">
        <v>149</v>
      </c>
      <c r="D44" s="9" t="s">
        <v>150</v>
      </c>
      <c r="E44" s="9" t="s">
        <v>151</v>
      </c>
      <c r="F44" s="9" t="s">
        <v>152</v>
      </c>
      <c r="G44" s="9" t="s">
        <v>153</v>
      </c>
      <c r="H44" s="9" t="s">
        <v>154</v>
      </c>
      <c r="I44" s="9" t="s">
        <v>123</v>
      </c>
      <c r="J44" s="9" t="s">
        <v>161</v>
      </c>
    </row>
    <row r="45" spans="1:10" x14ac:dyDescent="0.35">
      <c r="A45" s="27" t="s">
        <v>148</v>
      </c>
      <c r="B45" s="28">
        <v>844</v>
      </c>
      <c r="C45" s="11">
        <v>45</v>
      </c>
      <c r="D45" s="11">
        <v>20</v>
      </c>
      <c r="E45" s="11">
        <v>34</v>
      </c>
      <c r="F45" s="11">
        <v>9</v>
      </c>
      <c r="G45" s="11">
        <v>3</v>
      </c>
      <c r="H45" s="11">
        <v>5</v>
      </c>
      <c r="I45" s="11">
        <v>960</v>
      </c>
      <c r="J45" s="16">
        <v>0.87916666666666665</v>
      </c>
    </row>
    <row r="46" spans="1:10" x14ac:dyDescent="0.35">
      <c r="A46" s="27" t="s">
        <v>149</v>
      </c>
      <c r="B46" s="11">
        <v>55</v>
      </c>
      <c r="C46" s="28">
        <v>848</v>
      </c>
      <c r="D46" s="11">
        <v>89</v>
      </c>
      <c r="E46" s="11">
        <v>0</v>
      </c>
      <c r="F46" s="11">
        <v>8</v>
      </c>
      <c r="G46" s="11">
        <v>0</v>
      </c>
      <c r="H46" s="11">
        <v>0</v>
      </c>
      <c r="I46" s="11">
        <v>1000</v>
      </c>
      <c r="J46" s="16">
        <v>0.84799999999999998</v>
      </c>
    </row>
    <row r="47" spans="1:10" x14ac:dyDescent="0.35">
      <c r="A47" s="27" t="s">
        <v>150</v>
      </c>
      <c r="B47" s="11">
        <v>10</v>
      </c>
      <c r="C47" s="11">
        <v>66</v>
      </c>
      <c r="D47" s="28">
        <v>904</v>
      </c>
      <c r="E47" s="11">
        <v>2</v>
      </c>
      <c r="F47" s="11">
        <v>8</v>
      </c>
      <c r="G47" s="11">
        <v>1</v>
      </c>
      <c r="H47" s="11">
        <v>9</v>
      </c>
      <c r="I47" s="11">
        <v>1000</v>
      </c>
      <c r="J47" s="16">
        <v>0.90400000000000003</v>
      </c>
    </row>
    <row r="48" spans="1:10" x14ac:dyDescent="0.35">
      <c r="A48" s="27" t="s">
        <v>151</v>
      </c>
      <c r="B48" s="11">
        <v>42</v>
      </c>
      <c r="C48" s="11">
        <v>0</v>
      </c>
      <c r="D48" s="11">
        <v>4</v>
      </c>
      <c r="E48" s="28">
        <v>530</v>
      </c>
      <c r="F48" s="11">
        <v>85</v>
      </c>
      <c r="G48" s="11">
        <v>99</v>
      </c>
      <c r="H48" s="11">
        <v>240</v>
      </c>
      <c r="I48" s="11">
        <v>1000</v>
      </c>
      <c r="J48" s="16">
        <v>0.53</v>
      </c>
    </row>
    <row r="49" spans="1:10" x14ac:dyDescent="0.35">
      <c r="A49" s="27" t="s">
        <v>152</v>
      </c>
      <c r="B49" s="11">
        <v>21</v>
      </c>
      <c r="C49" s="11">
        <v>2</v>
      </c>
      <c r="D49" s="11">
        <v>85</v>
      </c>
      <c r="E49" s="11">
        <v>166</v>
      </c>
      <c r="F49" s="28">
        <v>416</v>
      </c>
      <c r="G49" s="11">
        <v>256</v>
      </c>
      <c r="H49" s="11">
        <v>54</v>
      </c>
      <c r="I49" s="11">
        <v>1000</v>
      </c>
      <c r="J49" s="16">
        <v>0.41599999999999998</v>
      </c>
    </row>
    <row r="50" spans="1:10" x14ac:dyDescent="0.35">
      <c r="A50" s="27" t="s">
        <v>153</v>
      </c>
      <c r="B50" s="11">
        <v>13</v>
      </c>
      <c r="C50" s="11">
        <v>4</v>
      </c>
      <c r="D50" s="11">
        <v>10</v>
      </c>
      <c r="E50" s="11">
        <v>162</v>
      </c>
      <c r="F50" s="11">
        <v>197</v>
      </c>
      <c r="G50" s="28">
        <v>463</v>
      </c>
      <c r="H50" s="11">
        <v>151</v>
      </c>
      <c r="I50" s="11">
        <v>1000</v>
      </c>
      <c r="J50" s="16">
        <v>0.46300000000000002</v>
      </c>
    </row>
    <row r="51" spans="1:10" x14ac:dyDescent="0.35">
      <c r="A51" s="27" t="s">
        <v>154</v>
      </c>
      <c r="B51" s="11">
        <v>7</v>
      </c>
      <c r="C51" s="11">
        <v>0</v>
      </c>
      <c r="D51" s="11">
        <v>14</v>
      </c>
      <c r="E51" s="11">
        <v>298</v>
      </c>
      <c r="F51" s="11">
        <v>46</v>
      </c>
      <c r="G51" s="11">
        <v>75</v>
      </c>
      <c r="H51" s="28">
        <v>560</v>
      </c>
      <c r="I51" s="11">
        <v>1000</v>
      </c>
      <c r="J51" s="16">
        <v>0.56000000000000005</v>
      </c>
    </row>
    <row r="53" spans="1:10" x14ac:dyDescent="0.35">
      <c r="A53" s="26" t="s">
        <v>166</v>
      </c>
    </row>
    <row r="54" spans="1:10" x14ac:dyDescent="0.35">
      <c r="A54" s="9" t="s">
        <v>160</v>
      </c>
      <c r="B54" s="9" t="s">
        <v>148</v>
      </c>
      <c r="C54" s="9" t="s">
        <v>149</v>
      </c>
      <c r="D54" s="9" t="s">
        <v>150</v>
      </c>
      <c r="E54" s="9" t="s">
        <v>151</v>
      </c>
      <c r="F54" s="9" t="s">
        <v>152</v>
      </c>
      <c r="G54" s="9" t="s">
        <v>153</v>
      </c>
      <c r="H54" s="9" t="s">
        <v>154</v>
      </c>
      <c r="I54" s="9" t="s">
        <v>123</v>
      </c>
      <c r="J54" s="9" t="s">
        <v>161</v>
      </c>
    </row>
    <row r="55" spans="1:10" x14ac:dyDescent="0.35">
      <c r="A55" s="27" t="s">
        <v>148</v>
      </c>
      <c r="B55" s="28">
        <v>848</v>
      </c>
      <c r="C55" s="11">
        <v>52</v>
      </c>
      <c r="D55" s="11">
        <v>24</v>
      </c>
      <c r="E55" s="11">
        <v>24</v>
      </c>
      <c r="F55" s="11">
        <v>6</v>
      </c>
      <c r="G55" s="11">
        <v>2</v>
      </c>
      <c r="H55" s="11">
        <v>4</v>
      </c>
      <c r="I55" s="11">
        <v>960</v>
      </c>
      <c r="J55" s="16">
        <v>0.8833333333333333</v>
      </c>
    </row>
    <row r="56" spans="1:10" x14ac:dyDescent="0.35">
      <c r="A56" s="27" t="s">
        <v>149</v>
      </c>
      <c r="B56" s="11">
        <v>53</v>
      </c>
      <c r="C56" s="28">
        <v>864</v>
      </c>
      <c r="D56" s="11">
        <v>77</v>
      </c>
      <c r="E56" s="11">
        <v>0</v>
      </c>
      <c r="F56" s="11">
        <v>6</v>
      </c>
      <c r="G56" s="11">
        <v>0</v>
      </c>
      <c r="H56" s="11">
        <v>0</v>
      </c>
      <c r="I56" s="11">
        <v>1000</v>
      </c>
      <c r="J56" s="16">
        <v>0.86399999999999999</v>
      </c>
    </row>
    <row r="57" spans="1:10" x14ac:dyDescent="0.35">
      <c r="A57" s="27" t="s">
        <v>150</v>
      </c>
      <c r="B57" s="11">
        <v>11</v>
      </c>
      <c r="C57" s="11">
        <v>69</v>
      </c>
      <c r="D57" s="28">
        <v>906</v>
      </c>
      <c r="E57" s="11">
        <v>2</v>
      </c>
      <c r="F57" s="11">
        <v>4</v>
      </c>
      <c r="G57" s="11">
        <v>0</v>
      </c>
      <c r="H57" s="11">
        <v>8</v>
      </c>
      <c r="I57" s="11">
        <v>1000</v>
      </c>
      <c r="J57" s="16">
        <v>0.90600000000000003</v>
      </c>
    </row>
    <row r="58" spans="1:10" x14ac:dyDescent="0.35">
      <c r="A58" s="27" t="s">
        <v>151</v>
      </c>
      <c r="B58" s="11">
        <v>75</v>
      </c>
      <c r="C58" s="11">
        <v>0</v>
      </c>
      <c r="D58" s="11">
        <v>5</v>
      </c>
      <c r="E58" s="28">
        <v>517</v>
      </c>
      <c r="F58" s="11">
        <v>81</v>
      </c>
      <c r="G58" s="11">
        <v>70</v>
      </c>
      <c r="H58" s="11">
        <v>252</v>
      </c>
      <c r="I58" s="11">
        <v>1000</v>
      </c>
      <c r="J58" s="16">
        <v>0.51700000000000002</v>
      </c>
    </row>
    <row r="59" spans="1:10" x14ac:dyDescent="0.35">
      <c r="A59" s="27" t="s">
        <v>152</v>
      </c>
      <c r="B59" s="11">
        <v>33</v>
      </c>
      <c r="C59" s="11">
        <v>5</v>
      </c>
      <c r="D59" s="11">
        <v>90</v>
      </c>
      <c r="E59" s="11">
        <v>177</v>
      </c>
      <c r="F59" s="28">
        <v>432</v>
      </c>
      <c r="G59" s="11">
        <v>205</v>
      </c>
      <c r="H59" s="11">
        <v>58</v>
      </c>
      <c r="I59" s="11">
        <v>1000</v>
      </c>
      <c r="J59" s="16">
        <v>0.432</v>
      </c>
    </row>
    <row r="60" spans="1:10" x14ac:dyDescent="0.35">
      <c r="A60" s="27" t="s">
        <v>153</v>
      </c>
      <c r="B60" s="11">
        <v>22</v>
      </c>
      <c r="C60" s="11">
        <v>5</v>
      </c>
      <c r="D60" s="11">
        <v>11</v>
      </c>
      <c r="E60" s="11">
        <v>176</v>
      </c>
      <c r="F60" s="11">
        <v>211</v>
      </c>
      <c r="G60" s="28">
        <v>411</v>
      </c>
      <c r="H60" s="11">
        <v>164</v>
      </c>
      <c r="I60" s="11">
        <v>1000</v>
      </c>
      <c r="J60" s="16">
        <v>0.41099999999999998</v>
      </c>
    </row>
    <row r="61" spans="1:10" x14ac:dyDescent="0.35">
      <c r="A61" s="27" t="s">
        <v>154</v>
      </c>
      <c r="B61" s="11">
        <v>15</v>
      </c>
      <c r="C61" s="11">
        <v>0</v>
      </c>
      <c r="D61" s="11">
        <v>25</v>
      </c>
      <c r="E61" s="11">
        <v>310</v>
      </c>
      <c r="F61" s="11">
        <v>38</v>
      </c>
      <c r="G61" s="11">
        <v>58</v>
      </c>
      <c r="H61" s="28">
        <v>554</v>
      </c>
      <c r="I61" s="11">
        <v>1000</v>
      </c>
      <c r="J61" s="16">
        <v>0.55400000000000005</v>
      </c>
    </row>
    <row r="63" spans="1:10" x14ac:dyDescent="0.35">
      <c r="A63" s="26" t="s">
        <v>167</v>
      </c>
    </row>
    <row r="64" spans="1:10" x14ac:dyDescent="0.35">
      <c r="A64" s="9" t="s">
        <v>160</v>
      </c>
      <c r="B64" s="9" t="s">
        <v>148</v>
      </c>
      <c r="C64" s="9" t="s">
        <v>149</v>
      </c>
      <c r="D64" s="9" t="s">
        <v>150</v>
      </c>
      <c r="E64" s="9" t="s">
        <v>151</v>
      </c>
      <c r="F64" s="9" t="s">
        <v>152</v>
      </c>
      <c r="G64" s="9" t="s">
        <v>153</v>
      </c>
      <c r="H64" s="9" t="s">
        <v>154</v>
      </c>
      <c r="I64" s="9" t="s">
        <v>123</v>
      </c>
      <c r="J64" s="9" t="s">
        <v>161</v>
      </c>
    </row>
    <row r="65" spans="1:10" x14ac:dyDescent="0.35">
      <c r="A65" s="27" t="s">
        <v>148</v>
      </c>
      <c r="B65" s="28">
        <v>818</v>
      </c>
      <c r="C65" s="11">
        <v>71</v>
      </c>
      <c r="D65" s="11">
        <v>24</v>
      </c>
      <c r="E65" s="11">
        <v>32</v>
      </c>
      <c r="F65" s="11">
        <v>8</v>
      </c>
      <c r="G65" s="11">
        <v>3</v>
      </c>
      <c r="H65" s="11">
        <v>4</v>
      </c>
      <c r="I65" s="11">
        <v>960</v>
      </c>
      <c r="J65" s="16">
        <v>0.8520833333333333</v>
      </c>
    </row>
    <row r="66" spans="1:10" x14ac:dyDescent="0.35">
      <c r="A66" s="27" t="s">
        <v>149</v>
      </c>
      <c r="B66" s="11">
        <v>30</v>
      </c>
      <c r="C66" s="28">
        <v>899</v>
      </c>
      <c r="D66" s="11">
        <v>64</v>
      </c>
      <c r="E66" s="11">
        <v>0</v>
      </c>
      <c r="F66" s="11">
        <v>7</v>
      </c>
      <c r="G66" s="11">
        <v>0</v>
      </c>
      <c r="H66" s="11">
        <v>0</v>
      </c>
      <c r="I66" s="11">
        <v>1000</v>
      </c>
      <c r="J66" s="16">
        <v>0.89900000000000002</v>
      </c>
    </row>
    <row r="67" spans="1:10" x14ac:dyDescent="0.35">
      <c r="A67" s="27" t="s">
        <v>150</v>
      </c>
      <c r="B67" s="11">
        <v>7</v>
      </c>
      <c r="C67" s="11">
        <v>78</v>
      </c>
      <c r="D67" s="28">
        <v>899</v>
      </c>
      <c r="E67" s="11">
        <v>3</v>
      </c>
      <c r="F67" s="11">
        <v>4</v>
      </c>
      <c r="G67" s="11">
        <v>2</v>
      </c>
      <c r="H67" s="11">
        <v>7</v>
      </c>
      <c r="I67" s="11">
        <v>1000</v>
      </c>
      <c r="J67" s="16">
        <v>0.89900000000000002</v>
      </c>
    </row>
    <row r="68" spans="1:10" x14ac:dyDescent="0.35">
      <c r="A68" s="27" t="s">
        <v>151</v>
      </c>
      <c r="B68" s="11">
        <v>54</v>
      </c>
      <c r="C68" s="11">
        <v>0</v>
      </c>
      <c r="D68" s="11">
        <v>5</v>
      </c>
      <c r="E68" s="28">
        <v>476</v>
      </c>
      <c r="F68" s="11">
        <v>94</v>
      </c>
      <c r="G68" s="11">
        <v>104</v>
      </c>
      <c r="H68" s="11">
        <v>267</v>
      </c>
      <c r="I68" s="11">
        <v>1000</v>
      </c>
      <c r="J68" s="16">
        <v>0.47599999999999998</v>
      </c>
    </row>
    <row r="69" spans="1:10" x14ac:dyDescent="0.35">
      <c r="A69" s="27" t="s">
        <v>152</v>
      </c>
      <c r="B69" s="11">
        <v>24</v>
      </c>
      <c r="C69" s="11">
        <v>9</v>
      </c>
      <c r="D69" s="11">
        <v>87</v>
      </c>
      <c r="E69" s="11">
        <v>142</v>
      </c>
      <c r="F69" s="28">
        <v>419</v>
      </c>
      <c r="G69" s="11">
        <v>263</v>
      </c>
      <c r="H69" s="11">
        <v>56</v>
      </c>
      <c r="I69" s="11">
        <v>1000</v>
      </c>
      <c r="J69" s="16">
        <v>0.41899999999999998</v>
      </c>
    </row>
    <row r="70" spans="1:10" x14ac:dyDescent="0.35">
      <c r="A70" s="27" t="s">
        <v>153</v>
      </c>
      <c r="B70" s="11">
        <v>18</v>
      </c>
      <c r="C70" s="11">
        <v>8</v>
      </c>
      <c r="D70" s="11">
        <v>9</v>
      </c>
      <c r="E70" s="11">
        <v>149</v>
      </c>
      <c r="F70" s="11">
        <v>185</v>
      </c>
      <c r="G70" s="28">
        <v>483</v>
      </c>
      <c r="H70" s="11">
        <v>148</v>
      </c>
      <c r="I70" s="11">
        <v>1000</v>
      </c>
      <c r="J70" s="16">
        <v>0.48299999999999998</v>
      </c>
    </row>
    <row r="71" spans="1:10" x14ac:dyDescent="0.35">
      <c r="A71" s="27" t="s">
        <v>154</v>
      </c>
      <c r="B71" s="11">
        <v>8</v>
      </c>
      <c r="C71" s="11">
        <v>1</v>
      </c>
      <c r="D71" s="11">
        <v>22</v>
      </c>
      <c r="E71" s="11">
        <v>249</v>
      </c>
      <c r="F71" s="11">
        <v>45</v>
      </c>
      <c r="G71" s="11">
        <v>92</v>
      </c>
      <c r="H71" s="28">
        <v>583</v>
      </c>
      <c r="I71" s="11">
        <v>1000</v>
      </c>
      <c r="J71" s="16">
        <v>0.58299999999999996</v>
      </c>
    </row>
    <row r="73" spans="1:10" x14ac:dyDescent="0.35">
      <c r="A73" s="26" t="s">
        <v>168</v>
      </c>
    </row>
    <row r="74" spans="1:10" x14ac:dyDescent="0.35">
      <c r="A74" s="9" t="s">
        <v>160</v>
      </c>
      <c r="B74" s="9" t="s">
        <v>148</v>
      </c>
      <c r="C74" s="9" t="s">
        <v>149</v>
      </c>
      <c r="D74" s="9" t="s">
        <v>150</v>
      </c>
      <c r="E74" s="9" t="s">
        <v>151</v>
      </c>
      <c r="F74" s="9" t="s">
        <v>152</v>
      </c>
      <c r="G74" s="9" t="s">
        <v>153</v>
      </c>
      <c r="H74" s="9" t="s">
        <v>154</v>
      </c>
      <c r="I74" s="9" t="s">
        <v>123</v>
      </c>
      <c r="J74" s="9" t="s">
        <v>161</v>
      </c>
    </row>
    <row r="75" spans="1:10" x14ac:dyDescent="0.35">
      <c r="A75" s="27" t="s">
        <v>148</v>
      </c>
      <c r="B75" s="28">
        <v>828</v>
      </c>
      <c r="C75" s="11">
        <v>51</v>
      </c>
      <c r="D75" s="11">
        <v>21</v>
      </c>
      <c r="E75" s="11">
        <v>41</v>
      </c>
      <c r="F75" s="11">
        <v>11</v>
      </c>
      <c r="G75" s="11">
        <v>3</v>
      </c>
      <c r="H75" s="11">
        <v>5</v>
      </c>
      <c r="I75" s="11">
        <v>960</v>
      </c>
      <c r="J75" s="16">
        <v>0.86250000000000004</v>
      </c>
    </row>
    <row r="76" spans="1:10" x14ac:dyDescent="0.35">
      <c r="A76" s="27" t="s">
        <v>149</v>
      </c>
      <c r="B76" s="11">
        <v>57</v>
      </c>
      <c r="C76" s="28">
        <v>834</v>
      </c>
      <c r="D76" s="11">
        <v>97</v>
      </c>
      <c r="E76" s="11">
        <v>0</v>
      </c>
      <c r="F76" s="11">
        <v>11</v>
      </c>
      <c r="G76" s="11">
        <v>1</v>
      </c>
      <c r="H76" s="11">
        <v>0</v>
      </c>
      <c r="I76" s="11">
        <v>1000</v>
      </c>
      <c r="J76" s="16">
        <v>0.83399999999999996</v>
      </c>
    </row>
    <row r="77" spans="1:10" x14ac:dyDescent="0.35">
      <c r="A77" s="27" t="s">
        <v>150</v>
      </c>
      <c r="B77" s="11">
        <v>11</v>
      </c>
      <c r="C77" s="11">
        <v>57</v>
      </c>
      <c r="D77" s="28">
        <v>909</v>
      </c>
      <c r="E77" s="11">
        <v>2</v>
      </c>
      <c r="F77" s="11">
        <v>10</v>
      </c>
      <c r="G77" s="11">
        <v>1</v>
      </c>
      <c r="H77" s="11">
        <v>10</v>
      </c>
      <c r="I77" s="11">
        <v>1000</v>
      </c>
      <c r="J77" s="16">
        <v>0.90900000000000003</v>
      </c>
    </row>
    <row r="78" spans="1:10" x14ac:dyDescent="0.35">
      <c r="A78" s="27" t="s">
        <v>151</v>
      </c>
      <c r="B78" s="11">
        <v>41</v>
      </c>
      <c r="C78" s="11">
        <v>0</v>
      </c>
      <c r="D78" s="11">
        <v>4</v>
      </c>
      <c r="E78" s="28">
        <v>478</v>
      </c>
      <c r="F78" s="11">
        <v>67</v>
      </c>
      <c r="G78" s="11">
        <v>107</v>
      </c>
      <c r="H78" s="11">
        <v>303</v>
      </c>
      <c r="I78" s="11">
        <v>1000</v>
      </c>
      <c r="J78" s="16">
        <v>0.47799999999999998</v>
      </c>
    </row>
    <row r="79" spans="1:10" x14ac:dyDescent="0.35">
      <c r="A79" s="27" t="s">
        <v>152</v>
      </c>
      <c r="B79" s="11">
        <v>23</v>
      </c>
      <c r="C79" s="11">
        <v>3</v>
      </c>
      <c r="D79" s="11">
        <v>83</v>
      </c>
      <c r="E79" s="11">
        <v>152</v>
      </c>
      <c r="F79" s="28">
        <v>370</v>
      </c>
      <c r="G79" s="11">
        <v>296</v>
      </c>
      <c r="H79" s="11">
        <v>73</v>
      </c>
      <c r="I79" s="11">
        <v>1000</v>
      </c>
      <c r="J79" s="16">
        <v>0.37</v>
      </c>
    </row>
    <row r="80" spans="1:10" x14ac:dyDescent="0.35">
      <c r="A80" s="27" t="s">
        <v>153</v>
      </c>
      <c r="B80" s="11">
        <v>14</v>
      </c>
      <c r="C80" s="11">
        <v>4</v>
      </c>
      <c r="D80" s="11">
        <v>10</v>
      </c>
      <c r="E80" s="11">
        <v>138</v>
      </c>
      <c r="F80" s="11">
        <v>163</v>
      </c>
      <c r="G80" s="28">
        <v>486</v>
      </c>
      <c r="H80" s="11">
        <v>185</v>
      </c>
      <c r="I80" s="11">
        <v>1000</v>
      </c>
      <c r="J80" s="16">
        <v>0.48599999999999999</v>
      </c>
    </row>
    <row r="81" spans="1:10" x14ac:dyDescent="0.35">
      <c r="A81" s="27" t="s">
        <v>154</v>
      </c>
      <c r="B81" s="11">
        <v>6</v>
      </c>
      <c r="C81" s="11">
        <v>0</v>
      </c>
      <c r="D81" s="11">
        <v>12</v>
      </c>
      <c r="E81" s="11">
        <v>240</v>
      </c>
      <c r="F81" s="11">
        <v>29</v>
      </c>
      <c r="G81" s="11">
        <v>80</v>
      </c>
      <c r="H81" s="28">
        <v>633</v>
      </c>
      <c r="I81" s="11">
        <v>1000</v>
      </c>
      <c r="J81" s="16">
        <v>0.63300000000000001</v>
      </c>
    </row>
    <row r="83" spans="1:10" x14ac:dyDescent="0.35">
      <c r="A83" s="26" t="s">
        <v>169</v>
      </c>
    </row>
    <row r="84" spans="1:10" x14ac:dyDescent="0.35">
      <c r="A84" s="9" t="s">
        <v>160</v>
      </c>
      <c r="B84" s="9" t="s">
        <v>148</v>
      </c>
      <c r="C84" s="9" t="s">
        <v>149</v>
      </c>
      <c r="D84" s="9" t="s">
        <v>150</v>
      </c>
      <c r="E84" s="9" t="s">
        <v>151</v>
      </c>
      <c r="F84" s="9" t="s">
        <v>152</v>
      </c>
      <c r="G84" s="9" t="s">
        <v>153</v>
      </c>
      <c r="H84" s="9" t="s">
        <v>154</v>
      </c>
      <c r="I84" s="9" t="s">
        <v>123</v>
      </c>
      <c r="J84" s="9" t="s">
        <v>161</v>
      </c>
    </row>
    <row r="85" spans="1:10" x14ac:dyDescent="0.35">
      <c r="A85" s="27" t="s">
        <v>148</v>
      </c>
      <c r="B85" s="28">
        <v>820</v>
      </c>
      <c r="C85" s="11">
        <v>54</v>
      </c>
      <c r="D85" s="11">
        <v>22</v>
      </c>
      <c r="E85" s="11">
        <v>41</v>
      </c>
      <c r="F85" s="11">
        <v>15</v>
      </c>
      <c r="G85" s="11">
        <v>3</v>
      </c>
      <c r="H85" s="11">
        <v>5</v>
      </c>
      <c r="I85" s="11">
        <v>960</v>
      </c>
      <c r="J85" s="16">
        <v>0.85416666666666663</v>
      </c>
    </row>
    <row r="86" spans="1:10" x14ac:dyDescent="0.35">
      <c r="A86" s="27" t="s">
        <v>149</v>
      </c>
      <c r="B86" s="11">
        <v>59</v>
      </c>
      <c r="C86" s="28">
        <v>831</v>
      </c>
      <c r="D86" s="11">
        <v>98</v>
      </c>
      <c r="E86" s="11">
        <v>0</v>
      </c>
      <c r="F86" s="11">
        <v>11</v>
      </c>
      <c r="G86" s="11">
        <v>1</v>
      </c>
      <c r="H86" s="11">
        <v>0</v>
      </c>
      <c r="I86" s="11">
        <v>1000</v>
      </c>
      <c r="J86" s="16">
        <v>0.83099999999999996</v>
      </c>
    </row>
    <row r="87" spans="1:10" x14ac:dyDescent="0.35">
      <c r="A87" s="27" t="s">
        <v>150</v>
      </c>
      <c r="B87" s="11">
        <v>10</v>
      </c>
      <c r="C87" s="11">
        <v>61</v>
      </c>
      <c r="D87" s="28">
        <v>906</v>
      </c>
      <c r="E87" s="11">
        <v>3</v>
      </c>
      <c r="F87" s="11">
        <v>10</v>
      </c>
      <c r="G87" s="11">
        <v>2</v>
      </c>
      <c r="H87" s="11">
        <v>8</v>
      </c>
      <c r="I87" s="11">
        <v>1000</v>
      </c>
      <c r="J87" s="16">
        <v>0.90600000000000003</v>
      </c>
    </row>
    <row r="88" spans="1:10" x14ac:dyDescent="0.35">
      <c r="A88" s="27" t="s">
        <v>151</v>
      </c>
      <c r="B88" s="11">
        <v>37</v>
      </c>
      <c r="C88" s="11">
        <v>0</v>
      </c>
      <c r="D88" s="11">
        <v>4</v>
      </c>
      <c r="E88" s="28">
        <v>462</v>
      </c>
      <c r="F88" s="11">
        <v>82</v>
      </c>
      <c r="G88" s="11">
        <v>107</v>
      </c>
      <c r="H88" s="11">
        <v>308</v>
      </c>
      <c r="I88" s="11">
        <v>1000</v>
      </c>
      <c r="J88" s="16">
        <v>0.46200000000000002</v>
      </c>
    </row>
    <row r="89" spans="1:10" x14ac:dyDescent="0.35">
      <c r="A89" s="27" t="s">
        <v>152</v>
      </c>
      <c r="B89" s="11">
        <v>22</v>
      </c>
      <c r="C89" s="11">
        <v>2</v>
      </c>
      <c r="D89" s="11">
        <v>83</v>
      </c>
      <c r="E89" s="11">
        <v>140</v>
      </c>
      <c r="F89" s="28">
        <v>406</v>
      </c>
      <c r="G89" s="11">
        <v>272</v>
      </c>
      <c r="H89" s="11">
        <v>75</v>
      </c>
      <c r="I89" s="11">
        <v>1000</v>
      </c>
      <c r="J89" s="16">
        <v>0.40600000000000003</v>
      </c>
    </row>
    <row r="90" spans="1:10" x14ac:dyDescent="0.35">
      <c r="A90" s="27" t="s">
        <v>153</v>
      </c>
      <c r="B90" s="11">
        <v>15</v>
      </c>
      <c r="C90" s="11">
        <v>3</v>
      </c>
      <c r="D90" s="11">
        <v>10</v>
      </c>
      <c r="E90" s="11">
        <v>128</v>
      </c>
      <c r="F90" s="11">
        <v>183</v>
      </c>
      <c r="G90" s="28">
        <v>481</v>
      </c>
      <c r="H90" s="11">
        <v>180</v>
      </c>
      <c r="I90" s="11">
        <v>1000</v>
      </c>
      <c r="J90" s="16">
        <v>0.48099999999999998</v>
      </c>
    </row>
    <row r="91" spans="1:10" x14ac:dyDescent="0.35">
      <c r="A91" s="27" t="s">
        <v>154</v>
      </c>
      <c r="B91" s="11">
        <v>5</v>
      </c>
      <c r="C91" s="11">
        <v>0</v>
      </c>
      <c r="D91" s="11">
        <v>12</v>
      </c>
      <c r="E91" s="11">
        <v>220</v>
      </c>
      <c r="F91" s="11">
        <v>36</v>
      </c>
      <c r="G91" s="11">
        <v>94</v>
      </c>
      <c r="H91" s="28">
        <v>633</v>
      </c>
      <c r="I91" s="11">
        <v>1000</v>
      </c>
      <c r="J91" s="16">
        <v>0.63300000000000001</v>
      </c>
    </row>
    <row r="93" spans="1:10" x14ac:dyDescent="0.35">
      <c r="A93" s="26" t="s">
        <v>170</v>
      </c>
    </row>
    <row r="94" spans="1:10" x14ac:dyDescent="0.35">
      <c r="A94" s="9" t="s">
        <v>160</v>
      </c>
      <c r="B94" s="9" t="s">
        <v>148</v>
      </c>
      <c r="C94" s="9" t="s">
        <v>149</v>
      </c>
      <c r="D94" s="9" t="s">
        <v>150</v>
      </c>
      <c r="E94" s="9" t="s">
        <v>151</v>
      </c>
      <c r="F94" s="9" t="s">
        <v>152</v>
      </c>
      <c r="G94" s="9" t="s">
        <v>153</v>
      </c>
      <c r="H94" s="9" t="s">
        <v>154</v>
      </c>
      <c r="I94" s="9" t="s">
        <v>123</v>
      </c>
      <c r="J94" s="9" t="s">
        <v>161</v>
      </c>
    </row>
    <row r="95" spans="1:10" x14ac:dyDescent="0.35">
      <c r="A95" s="27" t="s">
        <v>148</v>
      </c>
      <c r="B95" s="28">
        <v>819</v>
      </c>
      <c r="C95" s="11">
        <v>73</v>
      </c>
      <c r="D95" s="11">
        <v>26</v>
      </c>
      <c r="E95" s="11">
        <v>25</v>
      </c>
      <c r="F95" s="11">
        <v>10</v>
      </c>
      <c r="G95" s="11">
        <v>3</v>
      </c>
      <c r="H95" s="11">
        <v>4</v>
      </c>
      <c r="I95" s="11">
        <v>960</v>
      </c>
      <c r="J95" s="16">
        <v>0.85312500000000002</v>
      </c>
    </row>
    <row r="96" spans="1:10" x14ac:dyDescent="0.35">
      <c r="A96" s="27" t="s">
        <v>149</v>
      </c>
      <c r="B96" s="11">
        <v>47</v>
      </c>
      <c r="C96" s="28">
        <v>862</v>
      </c>
      <c r="D96" s="11">
        <v>83</v>
      </c>
      <c r="E96" s="11">
        <v>0</v>
      </c>
      <c r="F96" s="11">
        <v>8</v>
      </c>
      <c r="G96" s="11">
        <v>0</v>
      </c>
      <c r="H96" s="11">
        <v>0</v>
      </c>
      <c r="I96" s="11">
        <v>1000</v>
      </c>
      <c r="J96" s="16">
        <v>0.86199999999999999</v>
      </c>
    </row>
    <row r="97" spans="1:10" x14ac:dyDescent="0.35">
      <c r="A97" s="27" t="s">
        <v>150</v>
      </c>
      <c r="B97" s="11">
        <v>13</v>
      </c>
      <c r="C97" s="11">
        <v>66</v>
      </c>
      <c r="D97" s="28">
        <v>909</v>
      </c>
      <c r="E97" s="11">
        <v>1</v>
      </c>
      <c r="F97" s="11">
        <v>5</v>
      </c>
      <c r="G97" s="11">
        <v>1</v>
      </c>
      <c r="H97" s="11">
        <v>5</v>
      </c>
      <c r="I97" s="11">
        <v>1000</v>
      </c>
      <c r="J97" s="16">
        <v>0.90900000000000003</v>
      </c>
    </row>
    <row r="98" spans="1:10" x14ac:dyDescent="0.35">
      <c r="A98" s="27" t="s">
        <v>151</v>
      </c>
      <c r="B98" s="11">
        <v>69</v>
      </c>
      <c r="C98" s="11">
        <v>1</v>
      </c>
      <c r="D98" s="11">
        <v>5</v>
      </c>
      <c r="E98" s="28">
        <v>408</v>
      </c>
      <c r="F98" s="11">
        <v>137</v>
      </c>
      <c r="G98" s="11">
        <v>66</v>
      </c>
      <c r="H98" s="11">
        <v>314</v>
      </c>
      <c r="I98" s="11">
        <v>1000</v>
      </c>
      <c r="J98" s="16">
        <v>0.40799999999999997</v>
      </c>
    </row>
    <row r="99" spans="1:10" x14ac:dyDescent="0.35">
      <c r="A99" s="27" t="s">
        <v>152</v>
      </c>
      <c r="B99" s="11">
        <v>31</v>
      </c>
      <c r="C99" s="11">
        <v>12</v>
      </c>
      <c r="D99" s="11">
        <v>88</v>
      </c>
      <c r="E99" s="11">
        <v>122</v>
      </c>
      <c r="F99" s="28">
        <v>490</v>
      </c>
      <c r="G99" s="11">
        <v>181</v>
      </c>
      <c r="H99" s="11">
        <v>76</v>
      </c>
      <c r="I99" s="11">
        <v>1000</v>
      </c>
      <c r="J99" s="16">
        <v>0.49</v>
      </c>
    </row>
    <row r="100" spans="1:10" x14ac:dyDescent="0.35">
      <c r="A100" s="27" t="s">
        <v>153</v>
      </c>
      <c r="B100" s="11">
        <v>22</v>
      </c>
      <c r="C100" s="11">
        <v>7</v>
      </c>
      <c r="D100" s="11">
        <v>11</v>
      </c>
      <c r="E100" s="11">
        <v>113</v>
      </c>
      <c r="F100" s="11">
        <v>264</v>
      </c>
      <c r="G100" s="28">
        <v>384</v>
      </c>
      <c r="H100" s="11">
        <v>199</v>
      </c>
      <c r="I100" s="11">
        <v>1000</v>
      </c>
      <c r="J100" s="16">
        <v>0.38400000000000001</v>
      </c>
    </row>
    <row r="101" spans="1:10" x14ac:dyDescent="0.35">
      <c r="A101" s="27" t="s">
        <v>154</v>
      </c>
      <c r="B101" s="11">
        <v>14</v>
      </c>
      <c r="C101" s="11">
        <v>1</v>
      </c>
      <c r="D101" s="11">
        <v>24</v>
      </c>
      <c r="E101" s="11">
        <v>200</v>
      </c>
      <c r="F101" s="11">
        <v>57</v>
      </c>
      <c r="G101" s="11">
        <v>67</v>
      </c>
      <c r="H101" s="28">
        <v>637</v>
      </c>
      <c r="I101" s="11">
        <v>1000</v>
      </c>
      <c r="J101" s="16">
        <v>0.63700000000000001</v>
      </c>
    </row>
    <row r="103" spans="1:10" x14ac:dyDescent="0.35">
      <c r="A103" s="26" t="s">
        <v>171</v>
      </c>
    </row>
    <row r="104" spans="1:10" x14ac:dyDescent="0.35">
      <c r="A104" s="9" t="s">
        <v>160</v>
      </c>
      <c r="B104" s="9" t="s">
        <v>148</v>
      </c>
      <c r="C104" s="9" t="s">
        <v>149</v>
      </c>
      <c r="D104" s="9" t="s">
        <v>150</v>
      </c>
      <c r="E104" s="9" t="s">
        <v>151</v>
      </c>
      <c r="F104" s="9" t="s">
        <v>152</v>
      </c>
      <c r="G104" s="9" t="s">
        <v>153</v>
      </c>
      <c r="H104" s="9" t="s">
        <v>154</v>
      </c>
      <c r="I104" s="9" t="s">
        <v>123</v>
      </c>
      <c r="J104" s="9" t="s">
        <v>161</v>
      </c>
    </row>
    <row r="105" spans="1:10" x14ac:dyDescent="0.35">
      <c r="A105" s="27" t="s">
        <v>148</v>
      </c>
      <c r="B105" s="28">
        <v>791</v>
      </c>
      <c r="C105" s="11">
        <v>86</v>
      </c>
      <c r="D105" s="11">
        <v>21</v>
      </c>
      <c r="E105" s="11">
        <v>38</v>
      </c>
      <c r="F105" s="11">
        <v>16</v>
      </c>
      <c r="G105" s="11">
        <v>3</v>
      </c>
      <c r="H105" s="11">
        <v>5</v>
      </c>
      <c r="I105" s="11">
        <v>960</v>
      </c>
      <c r="J105" s="16">
        <v>0.82395833333333335</v>
      </c>
    </row>
    <row r="106" spans="1:10" x14ac:dyDescent="0.35">
      <c r="A106" s="27" t="s">
        <v>149</v>
      </c>
      <c r="B106" s="11">
        <v>35</v>
      </c>
      <c r="C106" s="28">
        <v>870</v>
      </c>
      <c r="D106" s="11">
        <v>83</v>
      </c>
      <c r="E106" s="11">
        <v>0</v>
      </c>
      <c r="F106" s="11">
        <v>12</v>
      </c>
      <c r="G106" s="11">
        <v>0</v>
      </c>
      <c r="H106" s="11">
        <v>0</v>
      </c>
      <c r="I106" s="11">
        <v>1000</v>
      </c>
      <c r="J106" s="16">
        <v>0.87</v>
      </c>
    </row>
    <row r="107" spans="1:10" x14ac:dyDescent="0.35">
      <c r="A107" s="27" t="s">
        <v>150</v>
      </c>
      <c r="B107" s="11">
        <v>8</v>
      </c>
      <c r="C107" s="11">
        <v>69</v>
      </c>
      <c r="D107" s="28">
        <v>903</v>
      </c>
      <c r="E107" s="11">
        <v>1</v>
      </c>
      <c r="F107" s="11">
        <v>9</v>
      </c>
      <c r="G107" s="11">
        <v>2</v>
      </c>
      <c r="H107" s="11">
        <v>8</v>
      </c>
      <c r="I107" s="11">
        <v>1000</v>
      </c>
      <c r="J107" s="16">
        <v>0.90300000000000002</v>
      </c>
    </row>
    <row r="108" spans="1:10" x14ac:dyDescent="0.35">
      <c r="A108" s="27" t="s">
        <v>151</v>
      </c>
      <c r="B108" s="11">
        <v>55</v>
      </c>
      <c r="C108" s="11">
        <v>1</v>
      </c>
      <c r="D108" s="11">
        <v>5</v>
      </c>
      <c r="E108" s="28">
        <v>403</v>
      </c>
      <c r="F108" s="11">
        <v>103</v>
      </c>
      <c r="G108" s="11">
        <v>107</v>
      </c>
      <c r="H108" s="11">
        <v>326</v>
      </c>
      <c r="I108" s="11">
        <v>1000</v>
      </c>
      <c r="J108" s="16">
        <v>0.40300000000000002</v>
      </c>
    </row>
    <row r="109" spans="1:10" x14ac:dyDescent="0.35">
      <c r="A109" s="27" t="s">
        <v>152</v>
      </c>
      <c r="B109" s="11">
        <v>20</v>
      </c>
      <c r="C109" s="11">
        <v>10</v>
      </c>
      <c r="D109" s="11">
        <v>83</v>
      </c>
      <c r="E109" s="11">
        <v>119</v>
      </c>
      <c r="F109" s="28">
        <v>445</v>
      </c>
      <c r="G109" s="11">
        <v>247</v>
      </c>
      <c r="H109" s="11">
        <v>76</v>
      </c>
      <c r="I109" s="11">
        <v>1000</v>
      </c>
      <c r="J109" s="16">
        <v>0.44500000000000001</v>
      </c>
    </row>
    <row r="110" spans="1:10" x14ac:dyDescent="0.35">
      <c r="A110" s="27" t="s">
        <v>153</v>
      </c>
      <c r="B110" s="11">
        <v>15</v>
      </c>
      <c r="C110" s="11">
        <v>7</v>
      </c>
      <c r="D110" s="11">
        <v>10</v>
      </c>
      <c r="E110" s="11">
        <v>106</v>
      </c>
      <c r="F110" s="11">
        <v>216</v>
      </c>
      <c r="G110" s="28">
        <v>454</v>
      </c>
      <c r="H110" s="11">
        <v>192</v>
      </c>
      <c r="I110" s="11">
        <v>1000</v>
      </c>
      <c r="J110" s="16">
        <v>0.45400000000000001</v>
      </c>
    </row>
    <row r="111" spans="1:10" x14ac:dyDescent="0.35">
      <c r="A111" s="27" t="s">
        <v>154</v>
      </c>
      <c r="B111" s="11">
        <v>8</v>
      </c>
      <c r="C111" s="11">
        <v>1</v>
      </c>
      <c r="D111" s="11">
        <v>14</v>
      </c>
      <c r="E111" s="11">
        <v>188</v>
      </c>
      <c r="F111" s="11">
        <v>44</v>
      </c>
      <c r="G111" s="11">
        <v>92</v>
      </c>
      <c r="H111" s="28">
        <v>653</v>
      </c>
      <c r="I111" s="11">
        <v>1000</v>
      </c>
      <c r="J111" s="16">
        <v>0.65300000000000002</v>
      </c>
    </row>
    <row r="113" spans="1:10" x14ac:dyDescent="0.35">
      <c r="A113" s="26" t="s">
        <v>172</v>
      </c>
    </row>
    <row r="114" spans="1:10" x14ac:dyDescent="0.35">
      <c r="A114" s="9" t="s">
        <v>160</v>
      </c>
      <c r="B114" s="9" t="s">
        <v>148</v>
      </c>
      <c r="C114" s="9" t="s">
        <v>149</v>
      </c>
      <c r="D114" s="9" t="s">
        <v>150</v>
      </c>
      <c r="E114" s="9" t="s">
        <v>151</v>
      </c>
      <c r="F114" s="9" t="s">
        <v>152</v>
      </c>
      <c r="G114" s="9" t="s">
        <v>153</v>
      </c>
      <c r="H114" s="9" t="s">
        <v>154</v>
      </c>
      <c r="I114" s="9" t="s">
        <v>123</v>
      </c>
      <c r="J114" s="9" t="s">
        <v>161</v>
      </c>
    </row>
    <row r="115" spans="1:10" x14ac:dyDescent="0.35">
      <c r="A115" s="27" t="s">
        <v>148</v>
      </c>
      <c r="B115" s="28">
        <v>805</v>
      </c>
      <c r="C115" s="11">
        <v>86</v>
      </c>
      <c r="D115" s="11">
        <v>26</v>
      </c>
      <c r="E115" s="11">
        <v>30</v>
      </c>
      <c r="F115" s="11">
        <v>5</v>
      </c>
      <c r="G115" s="11">
        <v>2</v>
      </c>
      <c r="H115" s="11">
        <v>6</v>
      </c>
      <c r="I115" s="11">
        <v>960</v>
      </c>
      <c r="J115" s="16">
        <v>0.83854166666666663</v>
      </c>
    </row>
    <row r="116" spans="1:10" x14ac:dyDescent="0.35">
      <c r="A116" s="27" t="s">
        <v>149</v>
      </c>
      <c r="B116" s="11">
        <v>37</v>
      </c>
      <c r="C116" s="28">
        <v>879</v>
      </c>
      <c r="D116" s="11">
        <v>78</v>
      </c>
      <c r="E116" s="11">
        <v>0</v>
      </c>
      <c r="F116" s="11">
        <v>6</v>
      </c>
      <c r="G116" s="11">
        <v>0</v>
      </c>
      <c r="H116" s="11">
        <v>0</v>
      </c>
      <c r="I116" s="11">
        <v>1000</v>
      </c>
      <c r="J116" s="16">
        <v>0.879</v>
      </c>
    </row>
    <row r="117" spans="1:10" x14ac:dyDescent="0.35">
      <c r="A117" s="27" t="s">
        <v>150</v>
      </c>
      <c r="B117" s="11">
        <v>11</v>
      </c>
      <c r="C117" s="11">
        <v>70</v>
      </c>
      <c r="D117" s="28">
        <v>911</v>
      </c>
      <c r="E117" s="11">
        <v>1</v>
      </c>
      <c r="F117" s="11">
        <v>3</v>
      </c>
      <c r="G117" s="11">
        <v>1</v>
      </c>
      <c r="H117" s="11">
        <v>3</v>
      </c>
      <c r="I117" s="11">
        <v>1000</v>
      </c>
      <c r="J117" s="16">
        <v>0.91100000000000003</v>
      </c>
    </row>
    <row r="118" spans="1:10" x14ac:dyDescent="0.35">
      <c r="A118" s="27" t="s">
        <v>151</v>
      </c>
      <c r="B118" s="11">
        <v>83</v>
      </c>
      <c r="C118" s="11">
        <v>2</v>
      </c>
      <c r="D118" s="11">
        <v>7</v>
      </c>
      <c r="E118" s="28">
        <v>419</v>
      </c>
      <c r="F118" s="11">
        <v>84</v>
      </c>
      <c r="G118" s="11">
        <v>94</v>
      </c>
      <c r="H118" s="11">
        <v>311</v>
      </c>
      <c r="I118" s="11">
        <v>1000</v>
      </c>
      <c r="J118" s="16">
        <v>0.41899999999999998</v>
      </c>
    </row>
    <row r="119" spans="1:10" x14ac:dyDescent="0.35">
      <c r="A119" s="27" t="s">
        <v>152</v>
      </c>
      <c r="B119" s="11">
        <v>34</v>
      </c>
      <c r="C119" s="11">
        <v>13</v>
      </c>
      <c r="D119" s="11">
        <v>92</v>
      </c>
      <c r="E119" s="11">
        <v>141</v>
      </c>
      <c r="F119" s="28">
        <v>398</v>
      </c>
      <c r="G119" s="11">
        <v>244</v>
      </c>
      <c r="H119" s="11">
        <v>78</v>
      </c>
      <c r="I119" s="11">
        <v>1000</v>
      </c>
      <c r="J119" s="16">
        <v>0.39800000000000002</v>
      </c>
    </row>
    <row r="120" spans="1:10" x14ac:dyDescent="0.35">
      <c r="A120" s="27" t="s">
        <v>153</v>
      </c>
      <c r="B120" s="11">
        <v>21</v>
      </c>
      <c r="C120" s="11">
        <v>8</v>
      </c>
      <c r="D120" s="11">
        <v>13</v>
      </c>
      <c r="E120" s="11">
        <v>140</v>
      </c>
      <c r="F120" s="11">
        <v>177</v>
      </c>
      <c r="G120" s="28">
        <v>452</v>
      </c>
      <c r="H120" s="11">
        <v>189</v>
      </c>
      <c r="I120" s="11">
        <v>1000</v>
      </c>
      <c r="J120" s="16">
        <v>0.45200000000000001</v>
      </c>
    </row>
    <row r="121" spans="1:10" x14ac:dyDescent="0.35">
      <c r="A121" s="27" t="s">
        <v>154</v>
      </c>
      <c r="B121" s="11">
        <v>17</v>
      </c>
      <c r="C121" s="11">
        <v>1</v>
      </c>
      <c r="D121" s="11">
        <v>29</v>
      </c>
      <c r="E121" s="11">
        <v>217</v>
      </c>
      <c r="F121" s="11">
        <v>37</v>
      </c>
      <c r="G121" s="11">
        <v>69</v>
      </c>
      <c r="H121" s="28">
        <v>630</v>
      </c>
      <c r="I121" s="11">
        <v>1000</v>
      </c>
      <c r="J121" s="16">
        <v>0.63</v>
      </c>
    </row>
    <row r="123" spans="1:10" x14ac:dyDescent="0.35">
      <c r="A123" s="26" t="s">
        <v>173</v>
      </c>
    </row>
    <row r="124" spans="1:10" x14ac:dyDescent="0.35">
      <c r="A124" s="9" t="s">
        <v>160</v>
      </c>
      <c r="B124" s="9" t="s">
        <v>148</v>
      </c>
      <c r="C124" s="9" t="s">
        <v>149</v>
      </c>
      <c r="D124" s="9" t="s">
        <v>150</v>
      </c>
      <c r="E124" s="9" t="s">
        <v>151</v>
      </c>
      <c r="F124" s="9" t="s">
        <v>152</v>
      </c>
      <c r="G124" s="9" t="s">
        <v>153</v>
      </c>
      <c r="H124" s="9" t="s">
        <v>154</v>
      </c>
      <c r="I124" s="9" t="s">
        <v>123</v>
      </c>
      <c r="J124" s="9" t="s">
        <v>161</v>
      </c>
    </row>
    <row r="125" spans="1:10" x14ac:dyDescent="0.35">
      <c r="A125" s="27" t="s">
        <v>148</v>
      </c>
      <c r="B125" s="28">
        <v>826</v>
      </c>
      <c r="C125" s="11">
        <v>70</v>
      </c>
      <c r="D125" s="11">
        <v>20</v>
      </c>
      <c r="E125" s="11">
        <v>28</v>
      </c>
      <c r="F125" s="11">
        <v>10</v>
      </c>
      <c r="G125" s="11">
        <v>3</v>
      </c>
      <c r="H125" s="11">
        <v>3</v>
      </c>
      <c r="I125" s="11">
        <v>960</v>
      </c>
      <c r="J125" s="16">
        <v>0.86041666666666672</v>
      </c>
    </row>
    <row r="126" spans="1:10" x14ac:dyDescent="0.35">
      <c r="A126" s="27" t="s">
        <v>149</v>
      </c>
      <c r="B126" s="11">
        <v>58</v>
      </c>
      <c r="C126" s="28">
        <v>859</v>
      </c>
      <c r="D126" s="11">
        <v>74</v>
      </c>
      <c r="E126" s="11">
        <v>1</v>
      </c>
      <c r="F126" s="11">
        <v>7</v>
      </c>
      <c r="G126" s="11">
        <v>1</v>
      </c>
      <c r="H126" s="11">
        <v>0</v>
      </c>
      <c r="I126" s="11">
        <v>1000</v>
      </c>
      <c r="J126" s="16">
        <v>0.85899999999999999</v>
      </c>
    </row>
    <row r="127" spans="1:10" x14ac:dyDescent="0.35">
      <c r="A127" s="27" t="s">
        <v>150</v>
      </c>
      <c r="B127" s="11">
        <v>12</v>
      </c>
      <c r="C127" s="11">
        <v>71</v>
      </c>
      <c r="D127" s="28">
        <v>901</v>
      </c>
      <c r="E127" s="11">
        <v>1</v>
      </c>
      <c r="F127" s="11">
        <v>9</v>
      </c>
      <c r="G127" s="11">
        <v>1</v>
      </c>
      <c r="H127" s="11">
        <v>5</v>
      </c>
      <c r="I127" s="11">
        <v>1000</v>
      </c>
      <c r="J127" s="16">
        <v>0.90100000000000002</v>
      </c>
    </row>
    <row r="128" spans="1:10" x14ac:dyDescent="0.35">
      <c r="A128" s="27" t="s">
        <v>151</v>
      </c>
      <c r="B128" s="11">
        <v>83</v>
      </c>
      <c r="C128" s="11">
        <v>3</v>
      </c>
      <c r="D128" s="11">
        <v>4</v>
      </c>
      <c r="E128" s="28">
        <v>402</v>
      </c>
      <c r="F128" s="11">
        <v>88</v>
      </c>
      <c r="G128" s="11">
        <v>216</v>
      </c>
      <c r="H128" s="11">
        <v>204</v>
      </c>
      <c r="I128" s="11">
        <v>1000</v>
      </c>
      <c r="J128" s="16">
        <v>0.40200000000000002</v>
      </c>
    </row>
    <row r="129" spans="1:10" x14ac:dyDescent="0.35">
      <c r="A129" s="27" t="s">
        <v>152</v>
      </c>
      <c r="B129" s="11">
        <v>48</v>
      </c>
      <c r="C129" s="11">
        <v>11</v>
      </c>
      <c r="D129" s="11">
        <v>84</v>
      </c>
      <c r="E129" s="11">
        <v>128</v>
      </c>
      <c r="F129" s="28">
        <v>392</v>
      </c>
      <c r="G129" s="11">
        <v>283</v>
      </c>
      <c r="H129" s="11">
        <v>54</v>
      </c>
      <c r="I129" s="11">
        <v>1000</v>
      </c>
      <c r="J129" s="16">
        <v>0.39200000000000002</v>
      </c>
    </row>
    <row r="130" spans="1:10" x14ac:dyDescent="0.35">
      <c r="A130" s="27" t="s">
        <v>153</v>
      </c>
      <c r="B130" s="11">
        <v>22</v>
      </c>
      <c r="C130" s="11">
        <v>9</v>
      </c>
      <c r="D130" s="11">
        <v>12</v>
      </c>
      <c r="E130" s="11">
        <v>168</v>
      </c>
      <c r="F130" s="11">
        <v>176</v>
      </c>
      <c r="G130" s="28">
        <v>418</v>
      </c>
      <c r="H130" s="11">
        <v>195</v>
      </c>
      <c r="I130" s="11">
        <v>1000</v>
      </c>
      <c r="J130" s="16">
        <v>0.41799999999999998</v>
      </c>
    </row>
    <row r="131" spans="1:10" x14ac:dyDescent="0.35">
      <c r="A131" s="27" t="s">
        <v>154</v>
      </c>
      <c r="B131" s="11">
        <v>18</v>
      </c>
      <c r="C131" s="11">
        <v>1</v>
      </c>
      <c r="D131" s="11">
        <v>21</v>
      </c>
      <c r="E131" s="11">
        <v>266</v>
      </c>
      <c r="F131" s="11">
        <v>30</v>
      </c>
      <c r="G131" s="11">
        <v>184</v>
      </c>
      <c r="H131" s="28">
        <v>480</v>
      </c>
      <c r="I131" s="11">
        <v>1000</v>
      </c>
      <c r="J131" s="16">
        <v>0.48</v>
      </c>
    </row>
    <row r="133" spans="1:10" x14ac:dyDescent="0.35">
      <c r="A133" s="26" t="s">
        <v>174</v>
      </c>
    </row>
    <row r="134" spans="1:10" x14ac:dyDescent="0.35">
      <c r="A134" s="9" t="s">
        <v>160</v>
      </c>
      <c r="B134" s="9" t="s">
        <v>148</v>
      </c>
      <c r="C134" s="9" t="s">
        <v>149</v>
      </c>
      <c r="D134" s="9" t="s">
        <v>150</v>
      </c>
      <c r="E134" s="9" t="s">
        <v>151</v>
      </c>
      <c r="F134" s="9" t="s">
        <v>152</v>
      </c>
      <c r="G134" s="9" t="s">
        <v>153</v>
      </c>
      <c r="H134" s="9" t="s">
        <v>154</v>
      </c>
      <c r="I134" s="9" t="s">
        <v>123</v>
      </c>
      <c r="J134" s="9" t="s">
        <v>161</v>
      </c>
    </row>
    <row r="135" spans="1:10" x14ac:dyDescent="0.35">
      <c r="A135" s="27" t="s">
        <v>148</v>
      </c>
      <c r="B135" s="28">
        <v>798</v>
      </c>
      <c r="C135" s="11">
        <v>63</v>
      </c>
      <c r="D135" s="11">
        <v>25</v>
      </c>
      <c r="E135" s="11">
        <v>34</v>
      </c>
      <c r="F135" s="11">
        <v>31</v>
      </c>
      <c r="G135" s="11">
        <v>2</v>
      </c>
      <c r="H135" s="11">
        <v>7</v>
      </c>
      <c r="I135" s="11">
        <v>960</v>
      </c>
      <c r="J135" s="16">
        <v>0.83125000000000004</v>
      </c>
    </row>
    <row r="136" spans="1:10" x14ac:dyDescent="0.35">
      <c r="A136" s="27" t="s">
        <v>149</v>
      </c>
      <c r="B136" s="11">
        <v>62</v>
      </c>
      <c r="C136" s="28">
        <v>822</v>
      </c>
      <c r="D136" s="11">
        <v>103</v>
      </c>
      <c r="E136" s="11">
        <v>0</v>
      </c>
      <c r="F136" s="11">
        <v>13</v>
      </c>
      <c r="G136" s="11">
        <v>0</v>
      </c>
      <c r="H136" s="11">
        <v>0</v>
      </c>
      <c r="I136" s="11">
        <v>1000</v>
      </c>
      <c r="J136" s="16">
        <v>0.82199999999999995</v>
      </c>
    </row>
    <row r="137" spans="1:10" x14ac:dyDescent="0.35">
      <c r="A137" s="27" t="s">
        <v>150</v>
      </c>
      <c r="B137" s="11">
        <v>11</v>
      </c>
      <c r="C137" s="11">
        <v>60</v>
      </c>
      <c r="D137" s="28">
        <v>912</v>
      </c>
      <c r="E137" s="11">
        <v>1</v>
      </c>
      <c r="F137" s="11">
        <v>12</v>
      </c>
      <c r="G137" s="11">
        <v>1</v>
      </c>
      <c r="H137" s="11">
        <v>3</v>
      </c>
      <c r="I137" s="11">
        <v>1000</v>
      </c>
      <c r="J137" s="16">
        <v>0.91200000000000003</v>
      </c>
    </row>
    <row r="138" spans="1:10" x14ac:dyDescent="0.35">
      <c r="A138" s="27" t="s">
        <v>151</v>
      </c>
      <c r="B138" s="11">
        <v>63</v>
      </c>
      <c r="C138" s="11">
        <v>2</v>
      </c>
      <c r="D138" s="11">
        <v>4</v>
      </c>
      <c r="E138" s="28">
        <v>349</v>
      </c>
      <c r="F138" s="11">
        <v>191</v>
      </c>
      <c r="G138" s="11">
        <v>169</v>
      </c>
      <c r="H138" s="11">
        <v>222</v>
      </c>
      <c r="I138" s="11">
        <v>1000</v>
      </c>
      <c r="J138" s="16">
        <v>0.34899999999999998</v>
      </c>
    </row>
    <row r="139" spans="1:10" x14ac:dyDescent="0.35">
      <c r="A139" s="27" t="s">
        <v>152</v>
      </c>
      <c r="B139" s="11">
        <v>35</v>
      </c>
      <c r="C139" s="11">
        <v>8</v>
      </c>
      <c r="D139" s="11">
        <v>86</v>
      </c>
      <c r="E139" s="11">
        <v>111</v>
      </c>
      <c r="F139" s="28">
        <v>534</v>
      </c>
      <c r="G139" s="11">
        <v>166</v>
      </c>
      <c r="H139" s="11">
        <v>60</v>
      </c>
      <c r="I139" s="11">
        <v>1000</v>
      </c>
      <c r="J139" s="16">
        <v>0.53400000000000003</v>
      </c>
    </row>
    <row r="140" spans="1:10" x14ac:dyDescent="0.35">
      <c r="A140" s="27" t="s">
        <v>153</v>
      </c>
      <c r="B140" s="11">
        <v>18</v>
      </c>
      <c r="C140" s="11">
        <v>8</v>
      </c>
      <c r="D140" s="11">
        <v>12</v>
      </c>
      <c r="E140" s="11">
        <v>139</v>
      </c>
      <c r="F140" s="11">
        <v>303</v>
      </c>
      <c r="G140" s="28">
        <v>315</v>
      </c>
      <c r="H140" s="11">
        <v>205</v>
      </c>
      <c r="I140" s="11">
        <v>1000</v>
      </c>
      <c r="J140" s="16">
        <v>0.315</v>
      </c>
    </row>
    <row r="141" spans="1:10" x14ac:dyDescent="0.35">
      <c r="A141" s="27" t="s">
        <v>154</v>
      </c>
      <c r="B141" s="11">
        <v>11</v>
      </c>
      <c r="C141" s="11">
        <v>2</v>
      </c>
      <c r="D141" s="11">
        <v>23</v>
      </c>
      <c r="E141" s="11">
        <v>229</v>
      </c>
      <c r="F141" s="11">
        <v>79</v>
      </c>
      <c r="G141" s="11">
        <v>160</v>
      </c>
      <c r="H141" s="28">
        <v>496</v>
      </c>
      <c r="I141" s="11">
        <v>1000</v>
      </c>
      <c r="J141" s="16">
        <v>0.496</v>
      </c>
    </row>
    <row r="143" spans="1:10" x14ac:dyDescent="0.35">
      <c r="A143" s="26" t="s">
        <v>175</v>
      </c>
    </row>
    <row r="144" spans="1:10" x14ac:dyDescent="0.35">
      <c r="A144" s="9" t="s">
        <v>160</v>
      </c>
      <c r="B144" s="9" t="s">
        <v>148</v>
      </c>
      <c r="C144" s="9" t="s">
        <v>149</v>
      </c>
      <c r="D144" s="9" t="s">
        <v>150</v>
      </c>
      <c r="E144" s="9" t="s">
        <v>151</v>
      </c>
      <c r="F144" s="9" t="s">
        <v>152</v>
      </c>
      <c r="G144" s="9" t="s">
        <v>153</v>
      </c>
      <c r="H144" s="9" t="s">
        <v>154</v>
      </c>
      <c r="I144" s="9" t="s">
        <v>123</v>
      </c>
      <c r="J144" s="9" t="s">
        <v>161</v>
      </c>
    </row>
    <row r="145" spans="1:10" x14ac:dyDescent="0.35">
      <c r="A145" s="27" t="s">
        <v>148</v>
      </c>
      <c r="B145" s="28">
        <v>751</v>
      </c>
      <c r="C145" s="11">
        <v>89</v>
      </c>
      <c r="D145" s="11">
        <v>30</v>
      </c>
      <c r="E145" s="11">
        <v>43</v>
      </c>
      <c r="F145" s="11">
        <v>33</v>
      </c>
      <c r="G145" s="11">
        <v>1</v>
      </c>
      <c r="H145" s="11">
        <v>13</v>
      </c>
      <c r="I145" s="11">
        <v>960</v>
      </c>
      <c r="J145" s="16">
        <v>0.78229166666666672</v>
      </c>
    </row>
    <row r="146" spans="1:10" x14ac:dyDescent="0.35">
      <c r="A146" s="27" t="s">
        <v>149</v>
      </c>
      <c r="B146" s="11">
        <v>37</v>
      </c>
      <c r="C146" s="28">
        <v>853</v>
      </c>
      <c r="D146" s="11">
        <v>97</v>
      </c>
      <c r="E146" s="11">
        <v>0</v>
      </c>
      <c r="F146" s="11">
        <v>12</v>
      </c>
      <c r="G146" s="11">
        <v>1</v>
      </c>
      <c r="H146" s="11">
        <v>0</v>
      </c>
      <c r="I146" s="11">
        <v>1000</v>
      </c>
      <c r="J146" s="16">
        <v>0.85299999999999998</v>
      </c>
    </row>
    <row r="147" spans="1:10" x14ac:dyDescent="0.35">
      <c r="A147" s="27" t="s">
        <v>150</v>
      </c>
      <c r="B147" s="11">
        <v>10</v>
      </c>
      <c r="C147" s="11">
        <v>67</v>
      </c>
      <c r="D147" s="28">
        <v>905</v>
      </c>
      <c r="E147" s="11">
        <v>1</v>
      </c>
      <c r="F147" s="11">
        <v>13</v>
      </c>
      <c r="G147" s="11">
        <v>1</v>
      </c>
      <c r="H147" s="11">
        <v>3</v>
      </c>
      <c r="I147" s="11">
        <v>1000</v>
      </c>
      <c r="J147" s="16">
        <v>0.90500000000000003</v>
      </c>
    </row>
    <row r="148" spans="1:10" x14ac:dyDescent="0.35">
      <c r="A148" s="27" t="s">
        <v>151</v>
      </c>
      <c r="B148" s="11">
        <v>43</v>
      </c>
      <c r="C148" s="11">
        <v>4</v>
      </c>
      <c r="D148" s="11">
        <v>4</v>
      </c>
      <c r="E148" s="28">
        <v>304</v>
      </c>
      <c r="F148" s="11">
        <v>165</v>
      </c>
      <c r="G148" s="11">
        <v>198</v>
      </c>
      <c r="H148" s="11">
        <v>282</v>
      </c>
      <c r="I148" s="11">
        <v>1000</v>
      </c>
      <c r="J148" s="16">
        <v>0.30399999999999999</v>
      </c>
    </row>
    <row r="149" spans="1:10" x14ac:dyDescent="0.35">
      <c r="A149" s="27" t="s">
        <v>152</v>
      </c>
      <c r="B149" s="11">
        <v>29</v>
      </c>
      <c r="C149" s="11">
        <v>12</v>
      </c>
      <c r="D149" s="11">
        <v>82</v>
      </c>
      <c r="E149" s="11">
        <v>97</v>
      </c>
      <c r="F149" s="28">
        <v>490</v>
      </c>
      <c r="G149" s="11">
        <v>208</v>
      </c>
      <c r="H149" s="11">
        <v>82</v>
      </c>
      <c r="I149" s="11">
        <v>1000</v>
      </c>
      <c r="J149" s="16">
        <v>0.49</v>
      </c>
    </row>
    <row r="150" spans="1:10" x14ac:dyDescent="0.35">
      <c r="A150" s="27" t="s">
        <v>153</v>
      </c>
      <c r="B150" s="11">
        <v>16</v>
      </c>
      <c r="C150" s="11">
        <v>8</v>
      </c>
      <c r="D150" s="11">
        <v>12</v>
      </c>
      <c r="E150" s="11">
        <v>100</v>
      </c>
      <c r="F150" s="11">
        <v>269</v>
      </c>
      <c r="G150" s="28">
        <v>342</v>
      </c>
      <c r="H150" s="11">
        <v>253</v>
      </c>
      <c r="I150" s="11">
        <v>1000</v>
      </c>
      <c r="J150" s="16">
        <v>0.34200000000000003</v>
      </c>
    </row>
    <row r="151" spans="1:10" x14ac:dyDescent="0.35">
      <c r="A151" s="27" t="s">
        <v>154</v>
      </c>
      <c r="B151" s="11">
        <v>4</v>
      </c>
      <c r="C151" s="11">
        <v>2</v>
      </c>
      <c r="D151" s="11">
        <v>22</v>
      </c>
      <c r="E151" s="11">
        <v>157</v>
      </c>
      <c r="F151" s="11">
        <v>57</v>
      </c>
      <c r="G151" s="11">
        <v>170</v>
      </c>
      <c r="H151" s="28">
        <v>588</v>
      </c>
      <c r="I151" s="11">
        <v>1000</v>
      </c>
      <c r="J151" s="16">
        <v>0.58799999999999997</v>
      </c>
    </row>
    <row r="153" spans="1:10" x14ac:dyDescent="0.35">
      <c r="A153" s="26" t="s">
        <v>176</v>
      </c>
    </row>
    <row r="154" spans="1:10" x14ac:dyDescent="0.35">
      <c r="A154" s="9" t="s">
        <v>160</v>
      </c>
      <c r="B154" s="9" t="s">
        <v>148</v>
      </c>
      <c r="C154" s="9" t="s">
        <v>149</v>
      </c>
      <c r="D154" s="9" t="s">
        <v>150</v>
      </c>
      <c r="E154" s="9" t="s">
        <v>151</v>
      </c>
      <c r="F154" s="9" t="s">
        <v>152</v>
      </c>
      <c r="G154" s="9" t="s">
        <v>153</v>
      </c>
      <c r="H154" s="9" t="s">
        <v>154</v>
      </c>
      <c r="I154" s="9" t="s">
        <v>123</v>
      </c>
      <c r="J154" s="9" t="s">
        <v>161</v>
      </c>
    </row>
    <row r="155" spans="1:10" x14ac:dyDescent="0.35">
      <c r="A155" s="27" t="s">
        <v>148</v>
      </c>
      <c r="B155" s="28">
        <v>750</v>
      </c>
      <c r="C155" s="11">
        <v>90</v>
      </c>
      <c r="D155" s="11">
        <v>30</v>
      </c>
      <c r="E155" s="11">
        <v>43</v>
      </c>
      <c r="F155" s="11">
        <v>33</v>
      </c>
      <c r="G155" s="11">
        <v>1</v>
      </c>
      <c r="H155" s="11">
        <v>13</v>
      </c>
      <c r="I155" s="11">
        <v>960</v>
      </c>
      <c r="J155" s="16">
        <v>0.78125</v>
      </c>
    </row>
    <row r="156" spans="1:10" x14ac:dyDescent="0.35">
      <c r="A156" s="27" t="s">
        <v>149</v>
      </c>
      <c r="B156" s="11">
        <v>37</v>
      </c>
      <c r="C156" s="28">
        <v>853</v>
      </c>
      <c r="D156" s="11">
        <v>97</v>
      </c>
      <c r="E156" s="11">
        <v>0</v>
      </c>
      <c r="F156" s="11">
        <v>12</v>
      </c>
      <c r="G156" s="11">
        <v>1</v>
      </c>
      <c r="H156" s="11">
        <v>0</v>
      </c>
      <c r="I156" s="11">
        <v>1000</v>
      </c>
      <c r="J156" s="16">
        <v>0.85299999999999998</v>
      </c>
    </row>
    <row r="157" spans="1:10" x14ac:dyDescent="0.35">
      <c r="A157" s="27" t="s">
        <v>150</v>
      </c>
      <c r="B157" s="11">
        <v>10</v>
      </c>
      <c r="C157" s="11">
        <v>68</v>
      </c>
      <c r="D157" s="28">
        <v>905</v>
      </c>
      <c r="E157" s="11">
        <v>1</v>
      </c>
      <c r="F157" s="11">
        <v>12</v>
      </c>
      <c r="G157" s="11">
        <v>1</v>
      </c>
      <c r="H157" s="11">
        <v>3</v>
      </c>
      <c r="I157" s="11">
        <v>1000</v>
      </c>
      <c r="J157" s="16">
        <v>0.90500000000000003</v>
      </c>
    </row>
    <row r="158" spans="1:10" x14ac:dyDescent="0.35">
      <c r="A158" s="27" t="s">
        <v>151</v>
      </c>
      <c r="B158" s="11">
        <v>44</v>
      </c>
      <c r="C158" s="11">
        <v>4</v>
      </c>
      <c r="D158" s="11">
        <v>4</v>
      </c>
      <c r="E158" s="28">
        <v>303</v>
      </c>
      <c r="F158" s="11">
        <v>163</v>
      </c>
      <c r="G158" s="11">
        <v>200</v>
      </c>
      <c r="H158" s="11">
        <v>282</v>
      </c>
      <c r="I158" s="11">
        <v>1000</v>
      </c>
      <c r="J158" s="16">
        <v>0.30299999999999999</v>
      </c>
    </row>
    <row r="159" spans="1:10" x14ac:dyDescent="0.35">
      <c r="A159" s="27" t="s">
        <v>152</v>
      </c>
      <c r="B159" s="11">
        <v>31</v>
      </c>
      <c r="C159" s="11">
        <v>12</v>
      </c>
      <c r="D159" s="11">
        <v>84</v>
      </c>
      <c r="E159" s="11">
        <v>97</v>
      </c>
      <c r="F159" s="28">
        <v>483</v>
      </c>
      <c r="G159" s="11">
        <v>210</v>
      </c>
      <c r="H159" s="11">
        <v>83</v>
      </c>
      <c r="I159" s="11">
        <v>1000</v>
      </c>
      <c r="J159" s="16">
        <v>0.48299999999999998</v>
      </c>
    </row>
    <row r="160" spans="1:10" x14ac:dyDescent="0.35">
      <c r="A160" s="27" t="s">
        <v>153</v>
      </c>
      <c r="B160" s="11">
        <v>16</v>
      </c>
      <c r="C160" s="11">
        <v>9</v>
      </c>
      <c r="D160" s="11">
        <v>12</v>
      </c>
      <c r="E160" s="11">
        <v>100</v>
      </c>
      <c r="F160" s="11">
        <v>265</v>
      </c>
      <c r="G160" s="28">
        <v>346</v>
      </c>
      <c r="H160" s="11">
        <v>252</v>
      </c>
      <c r="I160" s="11">
        <v>1000</v>
      </c>
      <c r="J160" s="16">
        <v>0.34599999999999997</v>
      </c>
    </row>
    <row r="161" spans="1:10" x14ac:dyDescent="0.35">
      <c r="A161" s="27" t="s">
        <v>154</v>
      </c>
      <c r="B161" s="11">
        <v>4</v>
      </c>
      <c r="C161" s="11">
        <v>2</v>
      </c>
      <c r="D161" s="11">
        <v>23</v>
      </c>
      <c r="E161" s="11">
        <v>156</v>
      </c>
      <c r="F161" s="11">
        <v>57</v>
      </c>
      <c r="G161" s="11">
        <v>175</v>
      </c>
      <c r="H161" s="28">
        <v>583</v>
      </c>
      <c r="I161" s="11">
        <v>1000</v>
      </c>
      <c r="J161" s="16">
        <v>0.58299999999999996</v>
      </c>
    </row>
    <row r="163" spans="1:10" x14ac:dyDescent="0.35">
      <c r="A163" s="26" t="s">
        <v>177</v>
      </c>
    </row>
    <row r="164" spans="1:10" x14ac:dyDescent="0.35">
      <c r="A164" s="9" t="s">
        <v>160</v>
      </c>
      <c r="B164" s="9" t="s">
        <v>148</v>
      </c>
      <c r="C164" s="9" t="s">
        <v>149</v>
      </c>
      <c r="D164" s="9" t="s">
        <v>150</v>
      </c>
      <c r="E164" s="9" t="s">
        <v>151</v>
      </c>
      <c r="F164" s="9" t="s">
        <v>152</v>
      </c>
      <c r="G164" s="9" t="s">
        <v>153</v>
      </c>
      <c r="H164" s="9" t="s">
        <v>154</v>
      </c>
      <c r="I164" s="9" t="s">
        <v>123</v>
      </c>
      <c r="J164" s="9" t="s">
        <v>161</v>
      </c>
    </row>
    <row r="165" spans="1:10" x14ac:dyDescent="0.35">
      <c r="A165" s="27" t="s">
        <v>148</v>
      </c>
      <c r="B165" s="28">
        <v>784</v>
      </c>
      <c r="C165" s="11">
        <v>79</v>
      </c>
      <c r="D165" s="11">
        <v>27</v>
      </c>
      <c r="E165" s="11">
        <v>41</v>
      </c>
      <c r="F165" s="11">
        <v>15</v>
      </c>
      <c r="G165" s="11">
        <v>2</v>
      </c>
      <c r="H165" s="11">
        <v>12</v>
      </c>
      <c r="I165" s="11">
        <v>960</v>
      </c>
      <c r="J165" s="16">
        <v>0.81666666666666665</v>
      </c>
    </row>
    <row r="166" spans="1:10" x14ac:dyDescent="0.35">
      <c r="A166" s="27" t="s">
        <v>149</v>
      </c>
      <c r="B166" s="11">
        <v>55</v>
      </c>
      <c r="C166" s="28">
        <v>852</v>
      </c>
      <c r="D166" s="11">
        <v>84</v>
      </c>
      <c r="E166" s="11">
        <v>1</v>
      </c>
      <c r="F166" s="11">
        <v>8</v>
      </c>
      <c r="G166" s="11">
        <v>0</v>
      </c>
      <c r="H166" s="11">
        <v>0</v>
      </c>
      <c r="I166" s="11">
        <v>1000</v>
      </c>
      <c r="J166" s="16">
        <v>0.85199999999999998</v>
      </c>
    </row>
    <row r="167" spans="1:10" x14ac:dyDescent="0.35">
      <c r="A167" s="27" t="s">
        <v>150</v>
      </c>
      <c r="B167" s="11">
        <v>12</v>
      </c>
      <c r="C167" s="11">
        <v>69</v>
      </c>
      <c r="D167" s="28">
        <v>910</v>
      </c>
      <c r="E167" s="11">
        <v>1</v>
      </c>
      <c r="F167" s="11">
        <v>4</v>
      </c>
      <c r="G167" s="11">
        <v>1</v>
      </c>
      <c r="H167" s="11">
        <v>3</v>
      </c>
      <c r="I167" s="11">
        <v>1000</v>
      </c>
      <c r="J167" s="16">
        <v>0.91</v>
      </c>
    </row>
    <row r="168" spans="1:10" x14ac:dyDescent="0.35">
      <c r="A168" s="27" t="s">
        <v>151</v>
      </c>
      <c r="B168" s="11">
        <v>92</v>
      </c>
      <c r="C168" s="11">
        <v>4</v>
      </c>
      <c r="D168" s="11">
        <v>7</v>
      </c>
      <c r="E168" s="28">
        <v>370</v>
      </c>
      <c r="F168" s="11">
        <v>96</v>
      </c>
      <c r="G168" s="11">
        <v>161</v>
      </c>
      <c r="H168" s="11">
        <v>270</v>
      </c>
      <c r="I168" s="11">
        <v>1000</v>
      </c>
      <c r="J168" s="16">
        <v>0.37</v>
      </c>
    </row>
    <row r="169" spans="1:10" x14ac:dyDescent="0.35">
      <c r="A169" s="27" t="s">
        <v>152</v>
      </c>
      <c r="B169" s="11">
        <v>56</v>
      </c>
      <c r="C169" s="11">
        <v>14</v>
      </c>
      <c r="D169" s="11">
        <v>93</v>
      </c>
      <c r="E169" s="11">
        <v>131</v>
      </c>
      <c r="F169" s="28">
        <v>377</v>
      </c>
      <c r="G169" s="11">
        <v>236</v>
      </c>
      <c r="H169" s="11">
        <v>93</v>
      </c>
      <c r="I169" s="11">
        <v>1000</v>
      </c>
      <c r="J169" s="16">
        <v>0.377</v>
      </c>
    </row>
    <row r="170" spans="1:10" x14ac:dyDescent="0.35">
      <c r="A170" s="27" t="s">
        <v>153</v>
      </c>
      <c r="B170" s="11">
        <v>29</v>
      </c>
      <c r="C170" s="11">
        <v>8</v>
      </c>
      <c r="D170" s="11">
        <v>14</v>
      </c>
      <c r="E170" s="11">
        <v>157</v>
      </c>
      <c r="F170" s="11">
        <v>177</v>
      </c>
      <c r="G170" s="28">
        <v>349</v>
      </c>
      <c r="H170" s="11">
        <v>266</v>
      </c>
      <c r="I170" s="11">
        <v>1000</v>
      </c>
      <c r="J170" s="16">
        <v>0.34899999999999998</v>
      </c>
    </row>
    <row r="171" spans="1:10" x14ac:dyDescent="0.35">
      <c r="A171" s="27" t="s">
        <v>154</v>
      </c>
      <c r="B171" s="11">
        <v>18</v>
      </c>
      <c r="C171" s="11">
        <v>2</v>
      </c>
      <c r="D171" s="11">
        <v>28</v>
      </c>
      <c r="E171" s="11">
        <v>211</v>
      </c>
      <c r="F171" s="11">
        <v>26</v>
      </c>
      <c r="G171" s="11">
        <v>137</v>
      </c>
      <c r="H171" s="28">
        <v>578</v>
      </c>
      <c r="I171" s="11">
        <v>1000</v>
      </c>
      <c r="J171" s="16">
        <v>0.57799999999999996</v>
      </c>
    </row>
    <row r="173" spans="1:10" x14ac:dyDescent="0.35">
      <c r="A173" s="26" t="s">
        <v>178</v>
      </c>
    </row>
    <row r="174" spans="1:10" x14ac:dyDescent="0.35">
      <c r="A174" s="9" t="s">
        <v>160</v>
      </c>
      <c r="B174" s="9" t="s">
        <v>148</v>
      </c>
      <c r="C174" s="9" t="s">
        <v>149</v>
      </c>
      <c r="D174" s="9" t="s">
        <v>150</v>
      </c>
      <c r="E174" s="9" t="s">
        <v>151</v>
      </c>
      <c r="F174" s="9" t="s">
        <v>152</v>
      </c>
      <c r="G174" s="9" t="s">
        <v>153</v>
      </c>
      <c r="H174" s="9" t="s">
        <v>154</v>
      </c>
      <c r="I174" s="9" t="s">
        <v>123</v>
      </c>
      <c r="J174" s="9" t="s">
        <v>161</v>
      </c>
    </row>
    <row r="175" spans="1:10" x14ac:dyDescent="0.35">
      <c r="A175" s="27" t="s">
        <v>148</v>
      </c>
      <c r="B175" s="28">
        <v>802</v>
      </c>
      <c r="C175" s="11">
        <v>58</v>
      </c>
      <c r="D175" s="11">
        <v>23</v>
      </c>
      <c r="E175" s="11">
        <v>42</v>
      </c>
      <c r="F175" s="11">
        <v>24</v>
      </c>
      <c r="G175" s="11">
        <v>1</v>
      </c>
      <c r="H175" s="11">
        <v>10</v>
      </c>
      <c r="I175" s="11">
        <v>960</v>
      </c>
      <c r="J175" s="16">
        <v>0.8354166666666667</v>
      </c>
    </row>
    <row r="176" spans="1:10" x14ac:dyDescent="0.35">
      <c r="A176" s="27" t="s">
        <v>149</v>
      </c>
      <c r="B176" s="11">
        <v>80</v>
      </c>
      <c r="C176" s="28">
        <v>823</v>
      </c>
      <c r="D176" s="11">
        <v>85</v>
      </c>
      <c r="E176" s="11">
        <v>0</v>
      </c>
      <c r="F176" s="11">
        <v>12</v>
      </c>
      <c r="G176" s="11">
        <v>0</v>
      </c>
      <c r="H176" s="11">
        <v>0</v>
      </c>
      <c r="I176" s="11">
        <v>1000</v>
      </c>
      <c r="J176" s="16">
        <v>0.82299999999999995</v>
      </c>
    </row>
    <row r="177" spans="1:10" x14ac:dyDescent="0.35">
      <c r="A177" s="27" t="s">
        <v>150</v>
      </c>
      <c r="B177" s="11">
        <v>16</v>
      </c>
      <c r="C177" s="11">
        <v>65</v>
      </c>
      <c r="D177" s="28">
        <v>905</v>
      </c>
      <c r="E177" s="11">
        <v>1</v>
      </c>
      <c r="F177" s="11">
        <v>10</v>
      </c>
      <c r="G177" s="11">
        <v>0</v>
      </c>
      <c r="H177" s="11">
        <v>3</v>
      </c>
      <c r="I177" s="11">
        <v>1000</v>
      </c>
      <c r="J177" s="16">
        <v>0.90500000000000003</v>
      </c>
    </row>
    <row r="178" spans="1:10" x14ac:dyDescent="0.35">
      <c r="A178" s="27" t="s">
        <v>151</v>
      </c>
      <c r="B178" s="11">
        <v>89</v>
      </c>
      <c r="C178" s="11">
        <v>2</v>
      </c>
      <c r="D178" s="11">
        <v>6</v>
      </c>
      <c r="E178" s="28">
        <v>404</v>
      </c>
      <c r="F178" s="11">
        <v>152</v>
      </c>
      <c r="G178" s="11">
        <v>132</v>
      </c>
      <c r="H178" s="11">
        <v>215</v>
      </c>
      <c r="I178" s="11">
        <v>1000</v>
      </c>
      <c r="J178" s="16">
        <v>0.40400000000000003</v>
      </c>
    </row>
    <row r="179" spans="1:10" x14ac:dyDescent="0.35">
      <c r="A179" s="27" t="s">
        <v>152</v>
      </c>
      <c r="B179" s="11">
        <v>53</v>
      </c>
      <c r="C179" s="11">
        <v>11</v>
      </c>
      <c r="D179" s="11">
        <v>89</v>
      </c>
      <c r="E179" s="11">
        <v>149</v>
      </c>
      <c r="F179" s="28">
        <v>475</v>
      </c>
      <c r="G179" s="11">
        <v>163</v>
      </c>
      <c r="H179" s="11">
        <v>60</v>
      </c>
      <c r="I179" s="11">
        <v>1000</v>
      </c>
      <c r="J179" s="16">
        <v>0.47499999999999998</v>
      </c>
    </row>
    <row r="180" spans="1:10" x14ac:dyDescent="0.35">
      <c r="A180" s="27" t="s">
        <v>153</v>
      </c>
      <c r="B180" s="11">
        <v>29</v>
      </c>
      <c r="C180" s="11">
        <v>5</v>
      </c>
      <c r="D180" s="11">
        <v>13</v>
      </c>
      <c r="E180" s="11">
        <v>183</v>
      </c>
      <c r="F180" s="11">
        <v>273</v>
      </c>
      <c r="G180" s="28">
        <v>274</v>
      </c>
      <c r="H180" s="11">
        <v>223</v>
      </c>
      <c r="I180" s="11">
        <v>1000</v>
      </c>
      <c r="J180" s="16">
        <v>0.27400000000000002</v>
      </c>
    </row>
    <row r="181" spans="1:10" x14ac:dyDescent="0.35">
      <c r="A181" s="27" t="s">
        <v>154</v>
      </c>
      <c r="B181" s="11">
        <v>17</v>
      </c>
      <c r="C181" s="11">
        <v>1</v>
      </c>
      <c r="D181" s="11">
        <v>23</v>
      </c>
      <c r="E181" s="11">
        <v>275</v>
      </c>
      <c r="F181" s="11">
        <v>57</v>
      </c>
      <c r="G181" s="11">
        <v>135</v>
      </c>
      <c r="H181" s="28">
        <v>492</v>
      </c>
      <c r="I181" s="11">
        <v>1000</v>
      </c>
      <c r="J181" s="16">
        <v>0.49199999999999999</v>
      </c>
    </row>
    <row r="183" spans="1:10" x14ac:dyDescent="0.35">
      <c r="A183" s="26" t="s">
        <v>179</v>
      </c>
    </row>
    <row r="184" spans="1:10" x14ac:dyDescent="0.35">
      <c r="A184" s="9" t="s">
        <v>160</v>
      </c>
      <c r="B184" s="9" t="s">
        <v>148</v>
      </c>
      <c r="C184" s="9" t="s">
        <v>149</v>
      </c>
      <c r="D184" s="9" t="s">
        <v>150</v>
      </c>
      <c r="E184" s="9" t="s">
        <v>151</v>
      </c>
      <c r="F184" s="9" t="s">
        <v>152</v>
      </c>
      <c r="G184" s="9" t="s">
        <v>153</v>
      </c>
      <c r="H184" s="9" t="s">
        <v>154</v>
      </c>
      <c r="I184" s="9" t="s">
        <v>123</v>
      </c>
      <c r="J184" s="9" t="s">
        <v>161</v>
      </c>
    </row>
    <row r="185" spans="1:10" x14ac:dyDescent="0.35">
      <c r="A185" s="27" t="s">
        <v>148</v>
      </c>
      <c r="B185" s="28">
        <v>763</v>
      </c>
      <c r="C185" s="11">
        <v>89</v>
      </c>
      <c r="D185" s="11">
        <v>37</v>
      </c>
      <c r="E185" s="11">
        <v>36</v>
      </c>
      <c r="F185" s="11">
        <v>16</v>
      </c>
      <c r="G185" s="11">
        <v>2</v>
      </c>
      <c r="H185" s="11">
        <v>17</v>
      </c>
      <c r="I185" s="11">
        <v>960</v>
      </c>
      <c r="J185" s="16">
        <v>0.79479166666666667</v>
      </c>
    </row>
    <row r="186" spans="1:10" x14ac:dyDescent="0.35">
      <c r="A186" s="27" t="s">
        <v>149</v>
      </c>
      <c r="B186" s="11">
        <v>55</v>
      </c>
      <c r="C186" s="28">
        <v>846</v>
      </c>
      <c r="D186" s="11">
        <v>86</v>
      </c>
      <c r="E186" s="11">
        <v>0</v>
      </c>
      <c r="F186" s="11">
        <v>12</v>
      </c>
      <c r="G186" s="11">
        <v>0</v>
      </c>
      <c r="H186" s="11">
        <v>1</v>
      </c>
      <c r="I186" s="11">
        <v>1000</v>
      </c>
      <c r="J186" s="16">
        <v>0.84599999999999997</v>
      </c>
    </row>
    <row r="187" spans="1:10" x14ac:dyDescent="0.35">
      <c r="A187" s="27" t="s">
        <v>150</v>
      </c>
      <c r="B187" s="11">
        <v>19</v>
      </c>
      <c r="C187" s="11">
        <v>62</v>
      </c>
      <c r="D187" s="28">
        <v>911</v>
      </c>
      <c r="E187" s="11">
        <v>1</v>
      </c>
      <c r="F187" s="11">
        <v>4</v>
      </c>
      <c r="G187" s="11">
        <v>0</v>
      </c>
      <c r="H187" s="11">
        <v>3</v>
      </c>
      <c r="I187" s="11">
        <v>1000</v>
      </c>
      <c r="J187" s="16">
        <v>0.91100000000000003</v>
      </c>
    </row>
    <row r="188" spans="1:10" x14ac:dyDescent="0.35">
      <c r="A188" s="27" t="s">
        <v>151</v>
      </c>
      <c r="B188" s="11">
        <v>74</v>
      </c>
      <c r="C188" s="11">
        <v>6</v>
      </c>
      <c r="D188" s="11">
        <v>7</v>
      </c>
      <c r="E188" s="28">
        <v>341</v>
      </c>
      <c r="F188" s="11">
        <v>115</v>
      </c>
      <c r="G188" s="11">
        <v>140</v>
      </c>
      <c r="H188" s="11">
        <v>317</v>
      </c>
      <c r="I188" s="11">
        <v>1000</v>
      </c>
      <c r="J188" s="16">
        <v>0.34100000000000003</v>
      </c>
    </row>
    <row r="189" spans="1:10" x14ac:dyDescent="0.35">
      <c r="A189" s="27" t="s">
        <v>152</v>
      </c>
      <c r="B189" s="11">
        <v>44</v>
      </c>
      <c r="C189" s="11">
        <v>23</v>
      </c>
      <c r="D189" s="11">
        <v>102</v>
      </c>
      <c r="E189" s="11">
        <v>133</v>
      </c>
      <c r="F189" s="28">
        <v>337</v>
      </c>
      <c r="G189" s="11">
        <v>247</v>
      </c>
      <c r="H189" s="11">
        <v>114</v>
      </c>
      <c r="I189" s="11">
        <v>1000</v>
      </c>
      <c r="J189" s="16">
        <v>0.33700000000000002</v>
      </c>
    </row>
    <row r="190" spans="1:10" x14ac:dyDescent="0.35">
      <c r="A190" s="27" t="s">
        <v>153</v>
      </c>
      <c r="B190" s="11">
        <v>26</v>
      </c>
      <c r="C190" s="11">
        <v>10</v>
      </c>
      <c r="D190" s="11">
        <v>13</v>
      </c>
      <c r="E190" s="11">
        <v>152</v>
      </c>
      <c r="F190" s="11">
        <v>202</v>
      </c>
      <c r="G190" s="28">
        <v>312</v>
      </c>
      <c r="H190" s="11">
        <v>285</v>
      </c>
      <c r="I190" s="11">
        <v>1000</v>
      </c>
      <c r="J190" s="16">
        <v>0.312</v>
      </c>
    </row>
    <row r="191" spans="1:10" x14ac:dyDescent="0.35">
      <c r="A191" s="27" t="s">
        <v>154</v>
      </c>
      <c r="B191" s="11">
        <v>17</v>
      </c>
      <c r="C191" s="11">
        <v>1</v>
      </c>
      <c r="D191" s="11">
        <v>32</v>
      </c>
      <c r="E191" s="11">
        <v>186</v>
      </c>
      <c r="F191" s="11">
        <v>43</v>
      </c>
      <c r="G191" s="11">
        <v>113</v>
      </c>
      <c r="H191" s="28">
        <v>608</v>
      </c>
      <c r="I191" s="11">
        <v>1000</v>
      </c>
      <c r="J191" s="16">
        <v>0.60799999999999998</v>
      </c>
    </row>
    <row r="193" spans="1:10" x14ac:dyDescent="0.35">
      <c r="A193" s="26" t="s">
        <v>180</v>
      </c>
    </row>
    <row r="194" spans="1:10" x14ac:dyDescent="0.35">
      <c r="A194" s="9" t="s">
        <v>160</v>
      </c>
      <c r="B194" s="9" t="s">
        <v>148</v>
      </c>
      <c r="C194" s="9" t="s">
        <v>149</v>
      </c>
      <c r="D194" s="9" t="s">
        <v>150</v>
      </c>
      <c r="E194" s="9" t="s">
        <v>151</v>
      </c>
      <c r="F194" s="9" t="s">
        <v>152</v>
      </c>
      <c r="G194" s="9" t="s">
        <v>153</v>
      </c>
      <c r="H194" s="9" t="s">
        <v>154</v>
      </c>
      <c r="I194" s="9" t="s">
        <v>123</v>
      </c>
      <c r="J194" s="9" t="s">
        <v>161</v>
      </c>
    </row>
    <row r="195" spans="1:10" x14ac:dyDescent="0.35">
      <c r="A195" s="27" t="s">
        <v>148</v>
      </c>
      <c r="B195" s="28">
        <v>729</v>
      </c>
      <c r="C195" s="11">
        <v>118</v>
      </c>
      <c r="D195" s="11">
        <v>31</v>
      </c>
      <c r="E195" s="11">
        <v>34</v>
      </c>
      <c r="F195" s="11">
        <v>24</v>
      </c>
      <c r="G195" s="11">
        <v>1</v>
      </c>
      <c r="H195" s="11">
        <v>23</v>
      </c>
      <c r="I195" s="11">
        <v>960</v>
      </c>
      <c r="J195" s="16">
        <v>0.75937500000000002</v>
      </c>
    </row>
    <row r="196" spans="1:10" x14ac:dyDescent="0.35">
      <c r="A196" s="27" t="s">
        <v>149</v>
      </c>
      <c r="B196" s="11">
        <v>39</v>
      </c>
      <c r="C196" s="28">
        <v>862</v>
      </c>
      <c r="D196" s="11">
        <v>82</v>
      </c>
      <c r="E196" s="11">
        <v>1</v>
      </c>
      <c r="F196" s="11">
        <v>11</v>
      </c>
      <c r="G196" s="11">
        <v>4</v>
      </c>
      <c r="H196" s="11">
        <v>1</v>
      </c>
      <c r="I196" s="11">
        <v>1000</v>
      </c>
      <c r="J196" s="16">
        <v>0.86199999999999999</v>
      </c>
    </row>
    <row r="197" spans="1:10" x14ac:dyDescent="0.35">
      <c r="A197" s="27" t="s">
        <v>150</v>
      </c>
      <c r="B197" s="11">
        <v>12</v>
      </c>
      <c r="C197" s="11">
        <v>67</v>
      </c>
      <c r="D197" s="28">
        <v>909</v>
      </c>
      <c r="E197" s="11">
        <v>1</v>
      </c>
      <c r="F197" s="11">
        <v>9</v>
      </c>
      <c r="G197" s="11">
        <v>1</v>
      </c>
      <c r="H197" s="11">
        <v>1</v>
      </c>
      <c r="I197" s="11">
        <v>1000</v>
      </c>
      <c r="J197" s="16">
        <v>0.90900000000000003</v>
      </c>
    </row>
    <row r="198" spans="1:10" x14ac:dyDescent="0.35">
      <c r="A198" s="27" t="s">
        <v>151</v>
      </c>
      <c r="B198" s="11">
        <v>82</v>
      </c>
      <c r="C198" s="11">
        <v>6</v>
      </c>
      <c r="D198" s="11">
        <v>10</v>
      </c>
      <c r="E198" s="28">
        <v>275</v>
      </c>
      <c r="F198" s="11">
        <v>131</v>
      </c>
      <c r="G198" s="11">
        <v>196</v>
      </c>
      <c r="H198" s="11">
        <v>300</v>
      </c>
      <c r="I198" s="11">
        <v>1000</v>
      </c>
      <c r="J198" s="16">
        <v>0.27500000000000002</v>
      </c>
    </row>
    <row r="199" spans="1:10" x14ac:dyDescent="0.35">
      <c r="A199" s="27" t="s">
        <v>152</v>
      </c>
      <c r="B199" s="11">
        <v>53</v>
      </c>
      <c r="C199" s="11">
        <v>26</v>
      </c>
      <c r="D199" s="11">
        <v>99</v>
      </c>
      <c r="E199" s="11">
        <v>94</v>
      </c>
      <c r="F199" s="28">
        <v>300</v>
      </c>
      <c r="G199" s="11">
        <v>317</v>
      </c>
      <c r="H199" s="11">
        <v>111</v>
      </c>
      <c r="I199" s="11">
        <v>1000</v>
      </c>
      <c r="J199" s="16">
        <v>0.3</v>
      </c>
    </row>
    <row r="200" spans="1:10" x14ac:dyDescent="0.35">
      <c r="A200" s="27" t="s">
        <v>153</v>
      </c>
      <c r="B200" s="11">
        <v>24</v>
      </c>
      <c r="C200" s="11">
        <v>15</v>
      </c>
      <c r="D200" s="11">
        <v>12</v>
      </c>
      <c r="E200" s="11">
        <v>114</v>
      </c>
      <c r="F200" s="11">
        <v>141</v>
      </c>
      <c r="G200" s="28">
        <v>397</v>
      </c>
      <c r="H200" s="11">
        <v>297</v>
      </c>
      <c r="I200" s="11">
        <v>1000</v>
      </c>
      <c r="J200" s="16">
        <v>0.39700000000000002</v>
      </c>
    </row>
    <row r="201" spans="1:10" x14ac:dyDescent="0.35">
      <c r="A201" s="27" t="s">
        <v>154</v>
      </c>
      <c r="B201" s="11">
        <v>15</v>
      </c>
      <c r="C201" s="11">
        <v>3</v>
      </c>
      <c r="D201" s="11">
        <v>42</v>
      </c>
      <c r="E201" s="11">
        <v>142</v>
      </c>
      <c r="F201" s="11">
        <v>45</v>
      </c>
      <c r="G201" s="11">
        <v>168</v>
      </c>
      <c r="H201" s="28">
        <v>585</v>
      </c>
      <c r="I201" s="11">
        <v>1000</v>
      </c>
      <c r="J201" s="16">
        <v>0.58499999999999996</v>
      </c>
    </row>
    <row r="203" spans="1:10" x14ac:dyDescent="0.35">
      <c r="A203" s="26" t="s">
        <v>181</v>
      </c>
    </row>
    <row r="204" spans="1:10" x14ac:dyDescent="0.35">
      <c r="A204" s="9" t="s">
        <v>160</v>
      </c>
      <c r="B204" s="9" t="s">
        <v>148</v>
      </c>
      <c r="C204" s="9" t="s">
        <v>149</v>
      </c>
      <c r="D204" s="9" t="s">
        <v>150</v>
      </c>
      <c r="E204" s="9" t="s">
        <v>151</v>
      </c>
      <c r="F204" s="9" t="s">
        <v>152</v>
      </c>
      <c r="G204" s="9" t="s">
        <v>153</v>
      </c>
      <c r="H204" s="9" t="s">
        <v>154</v>
      </c>
      <c r="I204" s="9" t="s">
        <v>123</v>
      </c>
      <c r="J204" s="9" t="s">
        <v>161</v>
      </c>
    </row>
    <row r="205" spans="1:10" x14ac:dyDescent="0.35">
      <c r="A205" s="27" t="s">
        <v>148</v>
      </c>
      <c r="B205" s="28">
        <v>716</v>
      </c>
      <c r="C205" s="11">
        <v>127</v>
      </c>
      <c r="D205" s="11">
        <v>38</v>
      </c>
      <c r="E205" s="11">
        <v>44</v>
      </c>
      <c r="F205" s="11">
        <v>14</v>
      </c>
      <c r="G205" s="11">
        <v>1</v>
      </c>
      <c r="H205" s="11">
        <v>20</v>
      </c>
      <c r="I205" s="11">
        <v>960</v>
      </c>
      <c r="J205" s="16">
        <v>0.74583333333333335</v>
      </c>
    </row>
    <row r="206" spans="1:10" x14ac:dyDescent="0.35">
      <c r="A206" s="27" t="s">
        <v>149</v>
      </c>
      <c r="B206" s="11">
        <v>99</v>
      </c>
      <c r="C206" s="28">
        <v>797</v>
      </c>
      <c r="D206" s="11">
        <v>92</v>
      </c>
      <c r="E206" s="11">
        <v>3</v>
      </c>
      <c r="F206" s="11">
        <v>8</v>
      </c>
      <c r="G206" s="11">
        <v>0</v>
      </c>
      <c r="H206" s="11">
        <v>1</v>
      </c>
      <c r="I206" s="11">
        <v>1000</v>
      </c>
      <c r="J206" s="16">
        <v>0.79700000000000004</v>
      </c>
    </row>
    <row r="207" spans="1:10" x14ac:dyDescent="0.35">
      <c r="A207" s="27" t="s">
        <v>150</v>
      </c>
      <c r="B207" s="11">
        <v>20</v>
      </c>
      <c r="C207" s="11">
        <v>55</v>
      </c>
      <c r="D207" s="28">
        <v>913</v>
      </c>
      <c r="E207" s="11">
        <v>1</v>
      </c>
      <c r="F207" s="11">
        <v>8</v>
      </c>
      <c r="G207" s="11">
        <v>1</v>
      </c>
      <c r="H207" s="11">
        <v>2</v>
      </c>
      <c r="I207" s="11">
        <v>1000</v>
      </c>
      <c r="J207" s="16">
        <v>0.91300000000000003</v>
      </c>
    </row>
    <row r="208" spans="1:10" x14ac:dyDescent="0.35">
      <c r="A208" s="27" t="s">
        <v>151</v>
      </c>
      <c r="B208" s="11">
        <v>79</v>
      </c>
      <c r="C208" s="11">
        <v>6</v>
      </c>
      <c r="D208" s="11">
        <v>11</v>
      </c>
      <c r="E208" s="28">
        <v>356</v>
      </c>
      <c r="F208" s="11">
        <v>136</v>
      </c>
      <c r="G208" s="11">
        <v>163</v>
      </c>
      <c r="H208" s="11">
        <v>249</v>
      </c>
      <c r="I208" s="11">
        <v>1000</v>
      </c>
      <c r="J208" s="16">
        <v>0.35599999999999998</v>
      </c>
    </row>
    <row r="209" spans="1:10" x14ac:dyDescent="0.35">
      <c r="A209" s="27" t="s">
        <v>152</v>
      </c>
      <c r="B209" s="11">
        <v>69</v>
      </c>
      <c r="C209" s="11">
        <v>22</v>
      </c>
      <c r="D209" s="11">
        <v>97</v>
      </c>
      <c r="E209" s="11">
        <v>183</v>
      </c>
      <c r="F209" s="28">
        <v>296</v>
      </c>
      <c r="G209" s="11">
        <v>239</v>
      </c>
      <c r="H209" s="11">
        <v>94</v>
      </c>
      <c r="I209" s="11">
        <v>1000</v>
      </c>
      <c r="J209" s="16">
        <v>0.29599999999999999</v>
      </c>
    </row>
    <row r="210" spans="1:10" x14ac:dyDescent="0.35">
      <c r="A210" s="27" t="s">
        <v>153</v>
      </c>
      <c r="B210" s="11">
        <v>33</v>
      </c>
      <c r="C210" s="11">
        <v>7</v>
      </c>
      <c r="D210" s="11">
        <v>10</v>
      </c>
      <c r="E210" s="11">
        <v>216</v>
      </c>
      <c r="F210" s="11">
        <v>169</v>
      </c>
      <c r="G210" s="28">
        <v>314</v>
      </c>
      <c r="H210" s="11">
        <v>251</v>
      </c>
      <c r="I210" s="11">
        <v>1000</v>
      </c>
      <c r="J210" s="16">
        <v>0.314</v>
      </c>
    </row>
    <row r="211" spans="1:10" x14ac:dyDescent="0.35">
      <c r="A211" s="27" t="s">
        <v>154</v>
      </c>
      <c r="B211" s="11">
        <v>15</v>
      </c>
      <c r="C211" s="11">
        <v>2</v>
      </c>
      <c r="D211" s="11">
        <v>40</v>
      </c>
      <c r="E211" s="11">
        <v>217</v>
      </c>
      <c r="F211" s="11">
        <v>53</v>
      </c>
      <c r="G211" s="11">
        <v>148</v>
      </c>
      <c r="H211" s="28">
        <v>525</v>
      </c>
      <c r="I211" s="11">
        <v>1000</v>
      </c>
      <c r="J211" s="16">
        <v>0.52500000000000002</v>
      </c>
    </row>
    <row r="213" spans="1:10" x14ac:dyDescent="0.35">
      <c r="A213" s="26" t="s">
        <v>182</v>
      </c>
    </row>
    <row r="214" spans="1:10" x14ac:dyDescent="0.35">
      <c r="A214" s="9" t="s">
        <v>160</v>
      </c>
      <c r="B214" s="9" t="s">
        <v>148</v>
      </c>
      <c r="C214" s="9" t="s">
        <v>149</v>
      </c>
      <c r="D214" s="9" t="s">
        <v>150</v>
      </c>
      <c r="E214" s="9" t="s">
        <v>151</v>
      </c>
      <c r="F214" s="9" t="s">
        <v>152</v>
      </c>
      <c r="G214" s="9" t="s">
        <v>153</v>
      </c>
      <c r="H214" s="9" t="s">
        <v>154</v>
      </c>
      <c r="I214" s="9" t="s">
        <v>123</v>
      </c>
      <c r="J214" s="9" t="s">
        <v>161</v>
      </c>
    </row>
    <row r="215" spans="1:10" x14ac:dyDescent="0.35">
      <c r="A215" s="27" t="s">
        <v>148</v>
      </c>
      <c r="B215" s="28">
        <v>711</v>
      </c>
      <c r="C215" s="11">
        <v>121</v>
      </c>
      <c r="D215" s="11">
        <v>39</v>
      </c>
      <c r="E215" s="11">
        <v>44</v>
      </c>
      <c r="F215" s="11">
        <v>24</v>
      </c>
      <c r="G215" s="11">
        <v>1</v>
      </c>
      <c r="H215" s="11">
        <v>20</v>
      </c>
      <c r="I215" s="11">
        <v>960</v>
      </c>
      <c r="J215" s="16">
        <v>0.74062499999999998</v>
      </c>
    </row>
    <row r="216" spans="1:10" x14ac:dyDescent="0.35">
      <c r="A216" s="27" t="s">
        <v>149</v>
      </c>
      <c r="B216" s="11">
        <v>105</v>
      </c>
      <c r="C216" s="28">
        <v>782</v>
      </c>
      <c r="D216" s="11">
        <v>98</v>
      </c>
      <c r="E216" s="11">
        <v>3</v>
      </c>
      <c r="F216" s="11">
        <v>11</v>
      </c>
      <c r="G216" s="11">
        <v>0</v>
      </c>
      <c r="H216" s="11">
        <v>1</v>
      </c>
      <c r="I216" s="11">
        <v>1000</v>
      </c>
      <c r="J216" s="16">
        <v>0.78200000000000003</v>
      </c>
    </row>
    <row r="217" spans="1:10" x14ac:dyDescent="0.35">
      <c r="A217" s="27" t="s">
        <v>150</v>
      </c>
      <c r="B217" s="11">
        <v>19</v>
      </c>
      <c r="C217" s="11">
        <v>56</v>
      </c>
      <c r="D217" s="28">
        <v>913</v>
      </c>
      <c r="E217" s="11">
        <v>1</v>
      </c>
      <c r="F217" s="11">
        <v>9</v>
      </c>
      <c r="G217" s="11">
        <v>0</v>
      </c>
      <c r="H217" s="11">
        <v>2</v>
      </c>
      <c r="I217" s="11">
        <v>1000</v>
      </c>
      <c r="J217" s="16">
        <v>0.91300000000000003</v>
      </c>
    </row>
    <row r="218" spans="1:10" x14ac:dyDescent="0.35">
      <c r="A218" s="27" t="s">
        <v>151</v>
      </c>
      <c r="B218" s="11">
        <v>69</v>
      </c>
      <c r="C218" s="11">
        <v>5</v>
      </c>
      <c r="D218" s="11">
        <v>10</v>
      </c>
      <c r="E218" s="28">
        <v>310</v>
      </c>
      <c r="F218" s="11">
        <v>165</v>
      </c>
      <c r="G218" s="11">
        <v>146</v>
      </c>
      <c r="H218" s="11">
        <v>295</v>
      </c>
      <c r="I218" s="11">
        <v>1000</v>
      </c>
      <c r="J218" s="16">
        <v>0.31</v>
      </c>
    </row>
    <row r="219" spans="1:10" x14ac:dyDescent="0.35">
      <c r="A219" s="27" t="s">
        <v>152</v>
      </c>
      <c r="B219" s="11">
        <v>57</v>
      </c>
      <c r="C219" s="11">
        <v>18</v>
      </c>
      <c r="D219" s="11">
        <v>99</v>
      </c>
      <c r="E219" s="11">
        <v>155</v>
      </c>
      <c r="F219" s="28">
        <v>349</v>
      </c>
      <c r="G219" s="11">
        <v>207</v>
      </c>
      <c r="H219" s="11">
        <v>115</v>
      </c>
      <c r="I219" s="11">
        <v>1000</v>
      </c>
      <c r="J219" s="16">
        <v>0.34899999999999998</v>
      </c>
    </row>
    <row r="220" spans="1:10" x14ac:dyDescent="0.35">
      <c r="A220" s="27" t="s">
        <v>153</v>
      </c>
      <c r="B220" s="11">
        <v>32</v>
      </c>
      <c r="C220" s="11">
        <v>5</v>
      </c>
      <c r="D220" s="11">
        <v>10</v>
      </c>
      <c r="E220" s="11">
        <v>182</v>
      </c>
      <c r="F220" s="11">
        <v>206</v>
      </c>
      <c r="G220" s="28">
        <v>273</v>
      </c>
      <c r="H220" s="11">
        <v>292</v>
      </c>
      <c r="I220" s="11">
        <v>1000</v>
      </c>
      <c r="J220" s="16">
        <v>0.27300000000000002</v>
      </c>
    </row>
    <row r="221" spans="1:10" x14ac:dyDescent="0.35">
      <c r="A221" s="27" t="s">
        <v>154</v>
      </c>
      <c r="B221" s="11">
        <v>11</v>
      </c>
      <c r="C221" s="11">
        <v>3</v>
      </c>
      <c r="D221" s="11">
        <v>43</v>
      </c>
      <c r="E221" s="11">
        <v>162</v>
      </c>
      <c r="F221" s="11">
        <v>67</v>
      </c>
      <c r="G221" s="11">
        <v>133</v>
      </c>
      <c r="H221" s="28">
        <v>581</v>
      </c>
      <c r="I221" s="11">
        <v>1000</v>
      </c>
      <c r="J221" s="16">
        <v>0.58099999999999996</v>
      </c>
    </row>
    <row r="223" spans="1:10" x14ac:dyDescent="0.35">
      <c r="A223" s="26" t="s">
        <v>183</v>
      </c>
    </row>
    <row r="224" spans="1:10" x14ac:dyDescent="0.35">
      <c r="A224" s="9" t="s">
        <v>160</v>
      </c>
      <c r="B224" s="9" t="s">
        <v>148</v>
      </c>
      <c r="C224" s="9" t="s">
        <v>149</v>
      </c>
      <c r="D224" s="9" t="s">
        <v>150</v>
      </c>
      <c r="E224" s="9" t="s">
        <v>151</v>
      </c>
      <c r="F224" s="9" t="s">
        <v>152</v>
      </c>
      <c r="G224" s="9" t="s">
        <v>153</v>
      </c>
      <c r="H224" s="9" t="s">
        <v>154</v>
      </c>
      <c r="I224" s="9" t="s">
        <v>123</v>
      </c>
      <c r="J224" s="9" t="s">
        <v>161</v>
      </c>
    </row>
    <row r="225" spans="1:10" x14ac:dyDescent="0.35">
      <c r="A225" s="27" t="s">
        <v>148</v>
      </c>
      <c r="B225" s="28">
        <v>666</v>
      </c>
      <c r="C225" s="11">
        <v>173</v>
      </c>
      <c r="D225" s="11">
        <v>39</v>
      </c>
      <c r="E225" s="11">
        <v>41</v>
      </c>
      <c r="F225" s="11">
        <v>22</v>
      </c>
      <c r="G225" s="11">
        <v>0</v>
      </c>
      <c r="H225" s="11">
        <v>19</v>
      </c>
      <c r="I225" s="11">
        <v>960</v>
      </c>
      <c r="J225" s="16">
        <v>0.69374999999999998</v>
      </c>
    </row>
    <row r="226" spans="1:10" x14ac:dyDescent="0.35">
      <c r="A226" s="27" t="s">
        <v>149</v>
      </c>
      <c r="B226" s="11">
        <v>72</v>
      </c>
      <c r="C226" s="28">
        <v>831</v>
      </c>
      <c r="D226" s="11">
        <v>85</v>
      </c>
      <c r="E226" s="11">
        <v>1</v>
      </c>
      <c r="F226" s="11">
        <v>10</v>
      </c>
      <c r="G226" s="11">
        <v>0</v>
      </c>
      <c r="H226" s="11">
        <v>1</v>
      </c>
      <c r="I226" s="11">
        <v>1000</v>
      </c>
      <c r="J226" s="16">
        <v>0.83099999999999996</v>
      </c>
    </row>
    <row r="227" spans="1:10" x14ac:dyDescent="0.35">
      <c r="A227" s="27" t="s">
        <v>150</v>
      </c>
      <c r="B227" s="11">
        <v>14</v>
      </c>
      <c r="C227" s="11">
        <v>65</v>
      </c>
      <c r="D227" s="28">
        <v>911</v>
      </c>
      <c r="E227" s="11">
        <v>1</v>
      </c>
      <c r="F227" s="11">
        <v>8</v>
      </c>
      <c r="G227" s="11">
        <v>0</v>
      </c>
      <c r="H227" s="11">
        <v>1</v>
      </c>
      <c r="I227" s="11">
        <v>1000</v>
      </c>
      <c r="J227" s="16">
        <v>0.91100000000000003</v>
      </c>
    </row>
    <row r="228" spans="1:10" x14ac:dyDescent="0.35">
      <c r="A228" s="27" t="s">
        <v>151</v>
      </c>
      <c r="B228" s="11">
        <v>75</v>
      </c>
      <c r="C228" s="11">
        <v>9</v>
      </c>
      <c r="D228" s="11">
        <v>17</v>
      </c>
      <c r="E228" s="28">
        <v>300</v>
      </c>
      <c r="F228" s="11">
        <v>174</v>
      </c>
      <c r="G228" s="11">
        <v>133</v>
      </c>
      <c r="H228" s="11">
        <v>292</v>
      </c>
      <c r="I228" s="11">
        <v>1000</v>
      </c>
      <c r="J228" s="16">
        <v>0.3</v>
      </c>
    </row>
    <row r="229" spans="1:10" x14ac:dyDescent="0.35">
      <c r="A229" s="27" t="s">
        <v>152</v>
      </c>
      <c r="B229" s="11">
        <v>58</v>
      </c>
      <c r="C229" s="11">
        <v>23</v>
      </c>
      <c r="D229" s="11">
        <v>105</v>
      </c>
      <c r="E229" s="11">
        <v>145</v>
      </c>
      <c r="F229" s="28">
        <v>365</v>
      </c>
      <c r="G229" s="11">
        <v>189</v>
      </c>
      <c r="H229" s="11">
        <v>115</v>
      </c>
      <c r="I229" s="11">
        <v>1000</v>
      </c>
      <c r="J229" s="16">
        <v>0.36499999999999999</v>
      </c>
    </row>
    <row r="230" spans="1:10" x14ac:dyDescent="0.35">
      <c r="A230" s="27" t="s">
        <v>153</v>
      </c>
      <c r="B230" s="11">
        <v>30</v>
      </c>
      <c r="C230" s="11">
        <v>11</v>
      </c>
      <c r="D230" s="11">
        <v>12</v>
      </c>
      <c r="E230" s="11">
        <v>169</v>
      </c>
      <c r="F230" s="11">
        <v>230</v>
      </c>
      <c r="G230" s="28">
        <v>259</v>
      </c>
      <c r="H230" s="11">
        <v>289</v>
      </c>
      <c r="I230" s="11">
        <v>1000</v>
      </c>
      <c r="J230" s="16">
        <v>0.25900000000000001</v>
      </c>
    </row>
    <row r="231" spans="1:10" x14ac:dyDescent="0.35">
      <c r="A231" s="27" t="s">
        <v>154</v>
      </c>
      <c r="B231" s="11">
        <v>13</v>
      </c>
      <c r="C231" s="11">
        <v>4</v>
      </c>
      <c r="D231" s="11">
        <v>48</v>
      </c>
      <c r="E231" s="11">
        <v>153</v>
      </c>
      <c r="F231" s="11">
        <v>83</v>
      </c>
      <c r="G231" s="11">
        <v>130</v>
      </c>
      <c r="H231" s="28">
        <v>569</v>
      </c>
      <c r="I231" s="11">
        <v>1000</v>
      </c>
      <c r="J231" s="16">
        <v>0.56899999999999995</v>
      </c>
    </row>
    <row r="233" spans="1:10" x14ac:dyDescent="0.35">
      <c r="A233" s="26" t="s">
        <v>184</v>
      </c>
    </row>
    <row r="234" spans="1:10" x14ac:dyDescent="0.35">
      <c r="A234" s="9" t="s">
        <v>160</v>
      </c>
      <c r="B234" s="9" t="s">
        <v>148</v>
      </c>
      <c r="C234" s="9" t="s">
        <v>149</v>
      </c>
      <c r="D234" s="9" t="s">
        <v>150</v>
      </c>
      <c r="E234" s="9" t="s">
        <v>151</v>
      </c>
      <c r="F234" s="9" t="s">
        <v>152</v>
      </c>
      <c r="G234" s="9" t="s">
        <v>153</v>
      </c>
      <c r="H234" s="9" t="s">
        <v>154</v>
      </c>
      <c r="I234" s="9" t="s">
        <v>123</v>
      </c>
      <c r="J234" s="9" t="s">
        <v>161</v>
      </c>
    </row>
    <row r="235" spans="1:10" x14ac:dyDescent="0.35">
      <c r="A235" s="27" t="s">
        <v>148</v>
      </c>
      <c r="B235" s="28">
        <v>667</v>
      </c>
      <c r="C235" s="11">
        <v>173</v>
      </c>
      <c r="D235" s="11">
        <v>41</v>
      </c>
      <c r="E235" s="11">
        <v>40</v>
      </c>
      <c r="F235" s="11">
        <v>20</v>
      </c>
      <c r="G235" s="11">
        <v>0</v>
      </c>
      <c r="H235" s="11">
        <v>19</v>
      </c>
      <c r="I235" s="11">
        <v>960</v>
      </c>
      <c r="J235" s="16">
        <v>0.6947916666666667</v>
      </c>
    </row>
    <row r="236" spans="1:10" x14ac:dyDescent="0.35">
      <c r="A236" s="27" t="s">
        <v>149</v>
      </c>
      <c r="B236" s="11">
        <v>72</v>
      </c>
      <c r="C236" s="28">
        <v>833</v>
      </c>
      <c r="D236" s="11">
        <v>83</v>
      </c>
      <c r="E236" s="11">
        <v>1</v>
      </c>
      <c r="F236" s="11">
        <v>10</v>
      </c>
      <c r="G236" s="11">
        <v>0</v>
      </c>
      <c r="H236" s="11">
        <v>1</v>
      </c>
      <c r="I236" s="11">
        <v>1000</v>
      </c>
      <c r="J236" s="16">
        <v>0.83299999999999996</v>
      </c>
    </row>
    <row r="237" spans="1:10" x14ac:dyDescent="0.35">
      <c r="A237" s="27" t="s">
        <v>150</v>
      </c>
      <c r="B237" s="11">
        <v>14</v>
      </c>
      <c r="C237" s="11">
        <v>65</v>
      </c>
      <c r="D237" s="28">
        <v>912</v>
      </c>
      <c r="E237" s="11">
        <v>1</v>
      </c>
      <c r="F237" s="11">
        <v>7</v>
      </c>
      <c r="G237" s="11">
        <v>0</v>
      </c>
      <c r="H237" s="11">
        <v>1</v>
      </c>
      <c r="I237" s="11">
        <v>1000</v>
      </c>
      <c r="J237" s="16">
        <v>0.91200000000000003</v>
      </c>
    </row>
    <row r="238" spans="1:10" x14ac:dyDescent="0.35">
      <c r="A238" s="27" t="s">
        <v>151</v>
      </c>
      <c r="B238" s="11">
        <v>74</v>
      </c>
      <c r="C238" s="11">
        <v>10</v>
      </c>
      <c r="D238" s="11">
        <v>18</v>
      </c>
      <c r="E238" s="28">
        <v>294</v>
      </c>
      <c r="F238" s="11">
        <v>177</v>
      </c>
      <c r="G238" s="11">
        <v>135</v>
      </c>
      <c r="H238" s="11">
        <v>292</v>
      </c>
      <c r="I238" s="11">
        <v>1000</v>
      </c>
      <c r="J238" s="16">
        <v>0.29399999999999998</v>
      </c>
    </row>
    <row r="239" spans="1:10" x14ac:dyDescent="0.35">
      <c r="A239" s="27" t="s">
        <v>152</v>
      </c>
      <c r="B239" s="11">
        <v>59</v>
      </c>
      <c r="C239" s="11">
        <v>24</v>
      </c>
      <c r="D239" s="11">
        <v>105</v>
      </c>
      <c r="E239" s="11">
        <v>144</v>
      </c>
      <c r="F239" s="28">
        <v>363</v>
      </c>
      <c r="G239" s="11">
        <v>190</v>
      </c>
      <c r="H239" s="11">
        <v>115</v>
      </c>
      <c r="I239" s="11">
        <v>1000</v>
      </c>
      <c r="J239" s="16">
        <v>0.36299999999999999</v>
      </c>
    </row>
    <row r="240" spans="1:10" x14ac:dyDescent="0.35">
      <c r="A240" s="27" t="s">
        <v>153</v>
      </c>
      <c r="B240" s="11">
        <v>30</v>
      </c>
      <c r="C240" s="11">
        <v>11</v>
      </c>
      <c r="D240" s="11">
        <v>12</v>
      </c>
      <c r="E240" s="11">
        <v>168</v>
      </c>
      <c r="F240" s="11">
        <v>233</v>
      </c>
      <c r="G240" s="28">
        <v>260</v>
      </c>
      <c r="H240" s="11">
        <v>286</v>
      </c>
      <c r="I240" s="11">
        <v>1000</v>
      </c>
      <c r="J240" s="16">
        <v>0.26</v>
      </c>
    </row>
    <row r="241" spans="1:10" x14ac:dyDescent="0.35">
      <c r="A241" s="27" t="s">
        <v>154</v>
      </c>
      <c r="B241" s="11">
        <v>13</v>
      </c>
      <c r="C241" s="11">
        <v>4</v>
      </c>
      <c r="D241" s="11">
        <v>48</v>
      </c>
      <c r="E241" s="11">
        <v>155</v>
      </c>
      <c r="F241" s="11">
        <v>86</v>
      </c>
      <c r="G241" s="11">
        <v>128</v>
      </c>
      <c r="H241" s="28">
        <v>566</v>
      </c>
      <c r="I241" s="11">
        <v>1000</v>
      </c>
      <c r="J241" s="16">
        <v>0.56599999999999995</v>
      </c>
    </row>
    <row r="243" spans="1:10" x14ac:dyDescent="0.35">
      <c r="A243" s="26" t="s">
        <v>185</v>
      </c>
    </row>
    <row r="244" spans="1:10" x14ac:dyDescent="0.35">
      <c r="A244" s="9" t="s">
        <v>160</v>
      </c>
      <c r="B244" s="9" t="s">
        <v>148</v>
      </c>
      <c r="C244" s="9" t="s">
        <v>149</v>
      </c>
      <c r="D244" s="9" t="s">
        <v>150</v>
      </c>
      <c r="E244" s="9" t="s">
        <v>151</v>
      </c>
      <c r="F244" s="9" t="s">
        <v>152</v>
      </c>
      <c r="G244" s="9" t="s">
        <v>153</v>
      </c>
      <c r="H244" s="9" t="s">
        <v>154</v>
      </c>
      <c r="I244" s="9" t="s">
        <v>123</v>
      </c>
      <c r="J244" s="9" t="s">
        <v>161</v>
      </c>
    </row>
    <row r="245" spans="1:10" x14ac:dyDescent="0.35">
      <c r="A245" s="27" t="s">
        <v>148</v>
      </c>
      <c r="B245" s="28">
        <v>660</v>
      </c>
      <c r="C245" s="11">
        <v>148</v>
      </c>
      <c r="D245" s="11">
        <v>44</v>
      </c>
      <c r="E245" s="11">
        <v>58</v>
      </c>
      <c r="F245" s="11">
        <v>25</v>
      </c>
      <c r="G245" s="11">
        <v>1</v>
      </c>
      <c r="H245" s="11">
        <v>24</v>
      </c>
      <c r="I245" s="11">
        <v>960</v>
      </c>
      <c r="J245" s="16">
        <v>0.6875</v>
      </c>
    </row>
    <row r="246" spans="1:10" x14ac:dyDescent="0.35">
      <c r="A246" s="27" t="s">
        <v>149</v>
      </c>
      <c r="B246" s="11">
        <v>84</v>
      </c>
      <c r="C246" s="28">
        <v>797</v>
      </c>
      <c r="D246" s="11">
        <v>106</v>
      </c>
      <c r="E246" s="11">
        <v>1</v>
      </c>
      <c r="F246" s="11">
        <v>11</v>
      </c>
      <c r="G246" s="11">
        <v>0</v>
      </c>
      <c r="H246" s="11">
        <v>1</v>
      </c>
      <c r="I246" s="11">
        <v>1000</v>
      </c>
      <c r="J246" s="16">
        <v>0.79700000000000004</v>
      </c>
    </row>
    <row r="247" spans="1:10" x14ac:dyDescent="0.35">
      <c r="A247" s="27" t="s">
        <v>150</v>
      </c>
      <c r="B247" s="11">
        <v>18</v>
      </c>
      <c r="C247" s="11">
        <v>54</v>
      </c>
      <c r="D247" s="28">
        <v>916</v>
      </c>
      <c r="E247" s="11">
        <v>1</v>
      </c>
      <c r="F247" s="11">
        <v>9</v>
      </c>
      <c r="G247" s="11">
        <v>0</v>
      </c>
      <c r="H247" s="11">
        <v>2</v>
      </c>
      <c r="I247" s="11">
        <v>1000</v>
      </c>
      <c r="J247" s="16">
        <v>0.91600000000000004</v>
      </c>
    </row>
    <row r="248" spans="1:10" x14ac:dyDescent="0.35">
      <c r="A248" s="27" t="s">
        <v>151</v>
      </c>
      <c r="B248" s="11">
        <v>56</v>
      </c>
      <c r="C248" s="11">
        <v>5</v>
      </c>
      <c r="D248" s="11">
        <v>12</v>
      </c>
      <c r="E248" s="28">
        <v>255</v>
      </c>
      <c r="F248" s="11">
        <v>184</v>
      </c>
      <c r="G248" s="11">
        <v>126</v>
      </c>
      <c r="H248" s="11">
        <v>362</v>
      </c>
      <c r="I248" s="11">
        <v>1000</v>
      </c>
      <c r="J248" s="16">
        <v>0.255</v>
      </c>
    </row>
    <row r="249" spans="1:10" x14ac:dyDescent="0.35">
      <c r="A249" s="27" t="s">
        <v>152</v>
      </c>
      <c r="B249" s="11">
        <v>48</v>
      </c>
      <c r="C249" s="11">
        <v>21</v>
      </c>
      <c r="D249" s="11">
        <v>100</v>
      </c>
      <c r="E249" s="11">
        <v>120</v>
      </c>
      <c r="F249" s="28">
        <v>364</v>
      </c>
      <c r="G249" s="11">
        <v>202</v>
      </c>
      <c r="H249" s="11">
        <v>145</v>
      </c>
      <c r="I249" s="11">
        <v>1000</v>
      </c>
      <c r="J249" s="16">
        <v>0.36399999999999999</v>
      </c>
    </row>
    <row r="250" spans="1:10" x14ac:dyDescent="0.35">
      <c r="A250" s="27" t="s">
        <v>153</v>
      </c>
      <c r="B250" s="11">
        <v>28</v>
      </c>
      <c r="C250" s="11">
        <v>8</v>
      </c>
      <c r="D250" s="11">
        <v>10</v>
      </c>
      <c r="E250" s="11">
        <v>131</v>
      </c>
      <c r="F250" s="11">
        <v>212</v>
      </c>
      <c r="G250" s="28">
        <v>270</v>
      </c>
      <c r="H250" s="11">
        <v>341</v>
      </c>
      <c r="I250" s="11">
        <v>1000</v>
      </c>
      <c r="J250" s="16">
        <v>0.27</v>
      </c>
    </row>
    <row r="251" spans="1:10" x14ac:dyDescent="0.35">
      <c r="A251" s="27" t="s">
        <v>154</v>
      </c>
      <c r="B251" s="11">
        <v>7</v>
      </c>
      <c r="C251" s="11">
        <v>2</v>
      </c>
      <c r="D251" s="11">
        <v>45</v>
      </c>
      <c r="E251" s="11">
        <v>108</v>
      </c>
      <c r="F251" s="11">
        <v>73</v>
      </c>
      <c r="G251" s="11">
        <v>117</v>
      </c>
      <c r="H251" s="28">
        <v>648</v>
      </c>
      <c r="I251" s="11">
        <v>1000</v>
      </c>
      <c r="J251" s="16">
        <v>0.64800000000000002</v>
      </c>
    </row>
    <row r="253" spans="1:10" x14ac:dyDescent="0.35">
      <c r="A253" s="26" t="s">
        <v>186</v>
      </c>
    </row>
    <row r="254" spans="1:10" x14ac:dyDescent="0.35">
      <c r="A254" s="9" t="s">
        <v>160</v>
      </c>
      <c r="B254" s="9" t="s">
        <v>148</v>
      </c>
      <c r="C254" s="9" t="s">
        <v>149</v>
      </c>
      <c r="D254" s="9" t="s">
        <v>150</v>
      </c>
      <c r="E254" s="9" t="s">
        <v>151</v>
      </c>
      <c r="F254" s="9" t="s">
        <v>152</v>
      </c>
      <c r="G254" s="9" t="s">
        <v>153</v>
      </c>
      <c r="H254" s="9" t="s">
        <v>154</v>
      </c>
      <c r="I254" s="9" t="s">
        <v>123</v>
      </c>
      <c r="J254" s="9" t="s">
        <v>161</v>
      </c>
    </row>
    <row r="255" spans="1:10" x14ac:dyDescent="0.35">
      <c r="A255" s="27" t="s">
        <v>148</v>
      </c>
      <c r="B255" s="28">
        <v>668</v>
      </c>
      <c r="C255" s="11">
        <v>173</v>
      </c>
      <c r="D255" s="11">
        <v>41</v>
      </c>
      <c r="E255" s="11">
        <v>41</v>
      </c>
      <c r="F255" s="11">
        <v>19</v>
      </c>
      <c r="G255" s="11">
        <v>0</v>
      </c>
      <c r="H255" s="11">
        <v>18</v>
      </c>
      <c r="I255" s="11">
        <v>960</v>
      </c>
      <c r="J255" s="16">
        <v>0.6958333333333333</v>
      </c>
    </row>
    <row r="256" spans="1:10" x14ac:dyDescent="0.35">
      <c r="A256" s="27" t="s">
        <v>149</v>
      </c>
      <c r="B256" s="11">
        <v>71</v>
      </c>
      <c r="C256" s="28">
        <v>835</v>
      </c>
      <c r="D256" s="11">
        <v>82</v>
      </c>
      <c r="E256" s="11">
        <v>1</v>
      </c>
      <c r="F256" s="11">
        <v>10</v>
      </c>
      <c r="G256" s="11">
        <v>0</v>
      </c>
      <c r="H256" s="11">
        <v>1</v>
      </c>
      <c r="I256" s="11">
        <v>1000</v>
      </c>
      <c r="J256" s="16">
        <v>0.83499999999999996</v>
      </c>
    </row>
    <row r="257" spans="1:10" x14ac:dyDescent="0.35">
      <c r="A257" s="27" t="s">
        <v>150</v>
      </c>
      <c r="B257" s="11">
        <v>13</v>
      </c>
      <c r="C257" s="11">
        <v>68</v>
      </c>
      <c r="D257" s="28">
        <v>911</v>
      </c>
      <c r="E257" s="11">
        <v>1</v>
      </c>
      <c r="F257" s="11">
        <v>6</v>
      </c>
      <c r="G257" s="11">
        <v>0</v>
      </c>
      <c r="H257" s="11">
        <v>1</v>
      </c>
      <c r="I257" s="11">
        <v>1000</v>
      </c>
      <c r="J257" s="16">
        <v>0.91100000000000003</v>
      </c>
    </row>
    <row r="258" spans="1:10" x14ac:dyDescent="0.35">
      <c r="A258" s="27" t="s">
        <v>151</v>
      </c>
      <c r="B258" s="11">
        <v>75</v>
      </c>
      <c r="C258" s="11">
        <v>10</v>
      </c>
      <c r="D258" s="11">
        <v>19</v>
      </c>
      <c r="E258" s="28">
        <v>286</v>
      </c>
      <c r="F258" s="11">
        <v>181</v>
      </c>
      <c r="G258" s="11">
        <v>142</v>
      </c>
      <c r="H258" s="11">
        <v>287</v>
      </c>
      <c r="I258" s="11">
        <v>1000</v>
      </c>
      <c r="J258" s="16">
        <v>0.28599999999999998</v>
      </c>
    </row>
    <row r="259" spans="1:10" x14ac:dyDescent="0.35">
      <c r="A259" s="27" t="s">
        <v>152</v>
      </c>
      <c r="B259" s="11">
        <v>62</v>
      </c>
      <c r="C259" s="11">
        <v>24</v>
      </c>
      <c r="D259" s="11">
        <v>106</v>
      </c>
      <c r="E259" s="11">
        <v>144</v>
      </c>
      <c r="F259" s="28">
        <v>374</v>
      </c>
      <c r="G259" s="11">
        <v>178</v>
      </c>
      <c r="H259" s="11">
        <v>112</v>
      </c>
      <c r="I259" s="11">
        <v>1000</v>
      </c>
      <c r="J259" s="16">
        <v>0.374</v>
      </c>
    </row>
    <row r="260" spans="1:10" x14ac:dyDescent="0.35">
      <c r="A260" s="27" t="s">
        <v>153</v>
      </c>
      <c r="B260" s="11">
        <v>30</v>
      </c>
      <c r="C260" s="11">
        <v>11</v>
      </c>
      <c r="D260" s="11">
        <v>12</v>
      </c>
      <c r="E260" s="11">
        <v>164</v>
      </c>
      <c r="F260" s="11">
        <v>250</v>
      </c>
      <c r="G260" s="28">
        <v>252</v>
      </c>
      <c r="H260" s="11">
        <v>281</v>
      </c>
      <c r="I260" s="11">
        <v>1000</v>
      </c>
      <c r="J260" s="16">
        <v>0.252</v>
      </c>
    </row>
    <row r="261" spans="1:10" x14ac:dyDescent="0.35">
      <c r="A261" s="27" t="s">
        <v>154</v>
      </c>
      <c r="B261" s="11">
        <v>12</v>
      </c>
      <c r="C261" s="11">
        <v>4</v>
      </c>
      <c r="D261" s="11">
        <v>48</v>
      </c>
      <c r="E261" s="11">
        <v>162</v>
      </c>
      <c r="F261" s="11">
        <v>96</v>
      </c>
      <c r="G261" s="11">
        <v>121</v>
      </c>
      <c r="H261" s="28">
        <v>557</v>
      </c>
      <c r="I261" s="11">
        <v>1000</v>
      </c>
      <c r="J261" s="16">
        <v>0.55700000000000005</v>
      </c>
    </row>
    <row r="263" spans="1:10" x14ac:dyDescent="0.35">
      <c r="A263" s="26" t="s">
        <v>187</v>
      </c>
    </row>
    <row r="264" spans="1:10" x14ac:dyDescent="0.35">
      <c r="A264" s="9" t="s">
        <v>160</v>
      </c>
      <c r="B264" s="9" t="s">
        <v>148</v>
      </c>
      <c r="C264" s="9" t="s">
        <v>149</v>
      </c>
      <c r="D264" s="9" t="s">
        <v>150</v>
      </c>
      <c r="E264" s="9" t="s">
        <v>151</v>
      </c>
      <c r="F264" s="9" t="s">
        <v>152</v>
      </c>
      <c r="G264" s="9" t="s">
        <v>153</v>
      </c>
      <c r="H264" s="9" t="s">
        <v>154</v>
      </c>
      <c r="I264" s="9" t="s">
        <v>123</v>
      </c>
      <c r="J264" s="9" t="s">
        <v>161</v>
      </c>
    </row>
    <row r="265" spans="1:10" x14ac:dyDescent="0.35">
      <c r="A265" s="27" t="s">
        <v>148</v>
      </c>
      <c r="B265" s="28">
        <v>701</v>
      </c>
      <c r="C265" s="11">
        <v>157</v>
      </c>
      <c r="D265" s="11">
        <v>38</v>
      </c>
      <c r="E265" s="11">
        <v>37</v>
      </c>
      <c r="F265" s="11">
        <v>9</v>
      </c>
      <c r="G265" s="11">
        <v>1</v>
      </c>
      <c r="H265" s="11">
        <v>17</v>
      </c>
      <c r="I265" s="11">
        <v>960</v>
      </c>
      <c r="J265" s="16">
        <v>0.73020833333333335</v>
      </c>
    </row>
    <row r="266" spans="1:10" x14ac:dyDescent="0.35">
      <c r="A266" s="27" t="s">
        <v>149</v>
      </c>
      <c r="B266" s="11">
        <v>105</v>
      </c>
      <c r="C266" s="28">
        <v>812</v>
      </c>
      <c r="D266" s="11">
        <v>74</v>
      </c>
      <c r="E266" s="11">
        <v>1</v>
      </c>
      <c r="F266" s="11">
        <v>7</v>
      </c>
      <c r="G266" s="11">
        <v>0</v>
      </c>
      <c r="H266" s="11">
        <v>1</v>
      </c>
      <c r="I266" s="11">
        <v>1000</v>
      </c>
      <c r="J266" s="16">
        <v>0.81200000000000006</v>
      </c>
    </row>
    <row r="267" spans="1:10" x14ac:dyDescent="0.35">
      <c r="A267" s="27" t="s">
        <v>150</v>
      </c>
      <c r="B267" s="11">
        <v>15</v>
      </c>
      <c r="C267" s="11">
        <v>68</v>
      </c>
      <c r="D267" s="28">
        <v>910</v>
      </c>
      <c r="E267" s="11">
        <v>1</v>
      </c>
      <c r="F267" s="11">
        <v>5</v>
      </c>
      <c r="G267" s="11">
        <v>0</v>
      </c>
      <c r="H267" s="11">
        <v>1</v>
      </c>
      <c r="I267" s="11">
        <v>1000</v>
      </c>
      <c r="J267" s="16">
        <v>0.91</v>
      </c>
    </row>
    <row r="268" spans="1:10" x14ac:dyDescent="0.35">
      <c r="A268" s="27" t="s">
        <v>151</v>
      </c>
      <c r="B268" s="11">
        <v>101</v>
      </c>
      <c r="C268" s="11">
        <v>8</v>
      </c>
      <c r="D268" s="11">
        <v>22</v>
      </c>
      <c r="E268" s="28">
        <v>303</v>
      </c>
      <c r="F268" s="11">
        <v>116</v>
      </c>
      <c r="G268" s="11">
        <v>167</v>
      </c>
      <c r="H268" s="11">
        <v>283</v>
      </c>
      <c r="I268" s="11">
        <v>1000</v>
      </c>
      <c r="J268" s="16">
        <v>0.30299999999999999</v>
      </c>
    </row>
    <row r="269" spans="1:10" x14ac:dyDescent="0.35">
      <c r="A269" s="27" t="s">
        <v>152</v>
      </c>
      <c r="B269" s="11">
        <v>85</v>
      </c>
      <c r="C269" s="11">
        <v>30</v>
      </c>
      <c r="D269" s="11">
        <v>105</v>
      </c>
      <c r="E269" s="11">
        <v>162</v>
      </c>
      <c r="F269" s="28">
        <v>254</v>
      </c>
      <c r="G269" s="11">
        <v>253</v>
      </c>
      <c r="H269" s="11">
        <v>111</v>
      </c>
      <c r="I269" s="11">
        <v>1000</v>
      </c>
      <c r="J269" s="16">
        <v>0.254</v>
      </c>
    </row>
    <row r="270" spans="1:10" x14ac:dyDescent="0.35">
      <c r="A270" s="27" t="s">
        <v>153</v>
      </c>
      <c r="B270" s="11">
        <v>38</v>
      </c>
      <c r="C270" s="11">
        <v>10</v>
      </c>
      <c r="D270" s="11">
        <v>13</v>
      </c>
      <c r="E270" s="11">
        <v>185</v>
      </c>
      <c r="F270" s="11">
        <v>156</v>
      </c>
      <c r="G270" s="28">
        <v>318</v>
      </c>
      <c r="H270" s="11">
        <v>280</v>
      </c>
      <c r="I270" s="11">
        <v>1000</v>
      </c>
      <c r="J270" s="16">
        <v>0.318</v>
      </c>
    </row>
    <row r="271" spans="1:10" x14ac:dyDescent="0.35">
      <c r="A271" s="27" t="s">
        <v>154</v>
      </c>
      <c r="B271" s="11">
        <v>17</v>
      </c>
      <c r="C271" s="11">
        <v>4</v>
      </c>
      <c r="D271" s="11">
        <v>47</v>
      </c>
      <c r="E271" s="11">
        <v>182</v>
      </c>
      <c r="F271" s="11">
        <v>58</v>
      </c>
      <c r="G271" s="11">
        <v>133</v>
      </c>
      <c r="H271" s="28">
        <v>559</v>
      </c>
      <c r="I271" s="11">
        <v>1000</v>
      </c>
      <c r="J271" s="16">
        <v>0.55900000000000005</v>
      </c>
    </row>
    <row r="273" spans="1:10" x14ac:dyDescent="0.35">
      <c r="A273" s="26" t="s">
        <v>188</v>
      </c>
    </row>
    <row r="274" spans="1:10" x14ac:dyDescent="0.35">
      <c r="A274" s="9" t="s">
        <v>160</v>
      </c>
      <c r="B274" s="9" t="s">
        <v>148</v>
      </c>
      <c r="C274" s="9" t="s">
        <v>149</v>
      </c>
      <c r="D274" s="9" t="s">
        <v>150</v>
      </c>
      <c r="E274" s="9" t="s">
        <v>151</v>
      </c>
      <c r="F274" s="9" t="s">
        <v>152</v>
      </c>
      <c r="G274" s="9" t="s">
        <v>153</v>
      </c>
      <c r="H274" s="9" t="s">
        <v>154</v>
      </c>
      <c r="I274" s="9" t="s">
        <v>123</v>
      </c>
      <c r="J274" s="9" t="s">
        <v>161</v>
      </c>
    </row>
    <row r="275" spans="1:10" x14ac:dyDescent="0.35">
      <c r="A275" s="27" t="s">
        <v>148</v>
      </c>
      <c r="B275" s="28">
        <v>699</v>
      </c>
      <c r="C275" s="11">
        <v>121</v>
      </c>
      <c r="D275" s="11">
        <v>40</v>
      </c>
      <c r="E275" s="11">
        <v>56</v>
      </c>
      <c r="F275" s="11">
        <v>21</v>
      </c>
      <c r="G275" s="11">
        <v>1</v>
      </c>
      <c r="H275" s="11">
        <v>22</v>
      </c>
      <c r="I275" s="11">
        <v>960</v>
      </c>
      <c r="J275" s="16">
        <v>0.72812500000000002</v>
      </c>
    </row>
    <row r="276" spans="1:10" x14ac:dyDescent="0.35">
      <c r="A276" s="27" t="s">
        <v>149</v>
      </c>
      <c r="B276" s="11">
        <v>115</v>
      </c>
      <c r="C276" s="28">
        <v>775</v>
      </c>
      <c r="D276" s="11">
        <v>92</v>
      </c>
      <c r="E276" s="11">
        <v>3</v>
      </c>
      <c r="F276" s="11">
        <v>14</v>
      </c>
      <c r="G276" s="11">
        <v>0</v>
      </c>
      <c r="H276" s="11">
        <v>1</v>
      </c>
      <c r="I276" s="11">
        <v>1000</v>
      </c>
      <c r="J276" s="16">
        <v>0.77500000000000002</v>
      </c>
    </row>
    <row r="277" spans="1:10" x14ac:dyDescent="0.35">
      <c r="A277" s="27" t="s">
        <v>150</v>
      </c>
      <c r="B277" s="11">
        <v>18</v>
      </c>
      <c r="C277" s="11">
        <v>60</v>
      </c>
      <c r="D277" s="28">
        <v>914</v>
      </c>
      <c r="E277" s="11">
        <v>1</v>
      </c>
      <c r="F277" s="11">
        <v>4</v>
      </c>
      <c r="G277" s="11">
        <v>0</v>
      </c>
      <c r="H277" s="11">
        <v>3</v>
      </c>
      <c r="I277" s="11">
        <v>1000</v>
      </c>
      <c r="J277" s="16">
        <v>0.91400000000000003</v>
      </c>
    </row>
    <row r="278" spans="1:10" x14ac:dyDescent="0.35">
      <c r="A278" s="27" t="s">
        <v>151</v>
      </c>
      <c r="B278" s="11">
        <v>66</v>
      </c>
      <c r="C278" s="11">
        <v>7</v>
      </c>
      <c r="D278" s="11">
        <v>17</v>
      </c>
      <c r="E278" s="28">
        <v>310</v>
      </c>
      <c r="F278" s="11">
        <v>111</v>
      </c>
      <c r="G278" s="11">
        <v>162</v>
      </c>
      <c r="H278" s="11">
        <v>327</v>
      </c>
      <c r="I278" s="11">
        <v>1000</v>
      </c>
      <c r="J278" s="16">
        <v>0.31</v>
      </c>
    </row>
    <row r="279" spans="1:10" x14ac:dyDescent="0.35">
      <c r="A279" s="27" t="s">
        <v>152</v>
      </c>
      <c r="B279" s="11">
        <v>58</v>
      </c>
      <c r="C279" s="11">
        <v>18</v>
      </c>
      <c r="D279" s="11">
        <v>108</v>
      </c>
      <c r="E279" s="11">
        <v>168</v>
      </c>
      <c r="F279" s="28">
        <v>248</v>
      </c>
      <c r="G279" s="11">
        <v>265</v>
      </c>
      <c r="H279" s="11">
        <v>135</v>
      </c>
      <c r="I279" s="11">
        <v>1000</v>
      </c>
      <c r="J279" s="16">
        <v>0.248</v>
      </c>
    </row>
    <row r="280" spans="1:10" x14ac:dyDescent="0.35">
      <c r="A280" s="27" t="s">
        <v>153</v>
      </c>
      <c r="B280" s="11">
        <v>33</v>
      </c>
      <c r="C280" s="11">
        <v>7</v>
      </c>
      <c r="D280" s="11">
        <v>13</v>
      </c>
      <c r="E280" s="11">
        <v>168</v>
      </c>
      <c r="F280" s="11">
        <v>149</v>
      </c>
      <c r="G280" s="28">
        <v>309</v>
      </c>
      <c r="H280" s="11">
        <v>321</v>
      </c>
      <c r="I280" s="11">
        <v>1000</v>
      </c>
      <c r="J280" s="16">
        <v>0.309</v>
      </c>
    </row>
    <row r="281" spans="1:10" x14ac:dyDescent="0.35">
      <c r="A281" s="27" t="s">
        <v>154</v>
      </c>
      <c r="B281" s="11">
        <v>12</v>
      </c>
      <c r="C281" s="11">
        <v>4</v>
      </c>
      <c r="D281" s="11">
        <v>46</v>
      </c>
      <c r="E281" s="11">
        <v>160</v>
      </c>
      <c r="F281" s="11">
        <v>58</v>
      </c>
      <c r="G281" s="11">
        <v>124</v>
      </c>
      <c r="H281" s="28">
        <v>596</v>
      </c>
      <c r="I281" s="11">
        <v>1000</v>
      </c>
      <c r="J281" s="16">
        <v>0.59599999999999997</v>
      </c>
    </row>
    <row r="283" spans="1:10" x14ac:dyDescent="0.35">
      <c r="A283" s="26" t="s">
        <v>189</v>
      </c>
    </row>
    <row r="284" spans="1:10" x14ac:dyDescent="0.35">
      <c r="A284" s="9" t="s">
        <v>160</v>
      </c>
      <c r="B284" s="9" t="s">
        <v>148</v>
      </c>
      <c r="C284" s="9" t="s">
        <v>149</v>
      </c>
      <c r="D284" s="9" t="s">
        <v>150</v>
      </c>
      <c r="E284" s="9" t="s">
        <v>151</v>
      </c>
      <c r="F284" s="9" t="s">
        <v>152</v>
      </c>
      <c r="G284" s="9" t="s">
        <v>153</v>
      </c>
      <c r="H284" s="9" t="s">
        <v>154</v>
      </c>
      <c r="I284" s="9" t="s">
        <v>123</v>
      </c>
      <c r="J284" s="9" t="s">
        <v>161</v>
      </c>
    </row>
    <row r="285" spans="1:10" x14ac:dyDescent="0.35">
      <c r="A285" s="27" t="s">
        <v>148</v>
      </c>
      <c r="B285" s="28">
        <v>655</v>
      </c>
      <c r="C285" s="11">
        <v>123</v>
      </c>
      <c r="D285" s="11">
        <v>36</v>
      </c>
      <c r="E285" s="11">
        <v>83</v>
      </c>
      <c r="F285" s="11">
        <v>39</v>
      </c>
      <c r="G285" s="11">
        <v>2</v>
      </c>
      <c r="H285" s="11">
        <v>22</v>
      </c>
      <c r="I285" s="11">
        <v>960</v>
      </c>
      <c r="J285" s="16">
        <v>0.68229166666666663</v>
      </c>
    </row>
    <row r="286" spans="1:10" x14ac:dyDescent="0.35">
      <c r="A286" s="27" t="s">
        <v>149</v>
      </c>
      <c r="B286" s="11">
        <v>97</v>
      </c>
      <c r="C286" s="28">
        <v>767</v>
      </c>
      <c r="D286" s="11">
        <v>107</v>
      </c>
      <c r="E286" s="11">
        <v>4</v>
      </c>
      <c r="F286" s="11">
        <v>23</v>
      </c>
      <c r="G286" s="11">
        <v>1</v>
      </c>
      <c r="H286" s="11">
        <v>1</v>
      </c>
      <c r="I286" s="11">
        <v>1000</v>
      </c>
      <c r="J286" s="16">
        <v>0.76700000000000002</v>
      </c>
    </row>
    <row r="287" spans="1:10" x14ac:dyDescent="0.35">
      <c r="A287" s="27" t="s">
        <v>150</v>
      </c>
      <c r="B287" s="11">
        <v>21</v>
      </c>
      <c r="C287" s="11">
        <v>50</v>
      </c>
      <c r="D287" s="28">
        <v>915</v>
      </c>
      <c r="E287" s="11">
        <v>1</v>
      </c>
      <c r="F287" s="11">
        <v>9</v>
      </c>
      <c r="G287" s="11">
        <v>0</v>
      </c>
      <c r="H287" s="11">
        <v>4</v>
      </c>
      <c r="I287" s="11">
        <v>1000</v>
      </c>
      <c r="J287" s="16">
        <v>0.91500000000000004</v>
      </c>
    </row>
    <row r="288" spans="1:10" x14ac:dyDescent="0.35">
      <c r="A288" s="27" t="s">
        <v>151</v>
      </c>
      <c r="B288" s="11">
        <v>47</v>
      </c>
      <c r="C288" s="11">
        <v>6</v>
      </c>
      <c r="D288" s="11">
        <v>6</v>
      </c>
      <c r="E288" s="28">
        <v>231</v>
      </c>
      <c r="F288" s="11">
        <v>138</v>
      </c>
      <c r="G288" s="11">
        <v>282</v>
      </c>
      <c r="H288" s="11">
        <v>290</v>
      </c>
      <c r="I288" s="11">
        <v>1000</v>
      </c>
      <c r="J288" s="16">
        <v>0.23100000000000001</v>
      </c>
    </row>
    <row r="289" spans="1:10" x14ac:dyDescent="0.35">
      <c r="A289" s="27" t="s">
        <v>152</v>
      </c>
      <c r="B289" s="11">
        <v>42</v>
      </c>
      <c r="C289" s="11">
        <v>13</v>
      </c>
      <c r="D289" s="11">
        <v>92</v>
      </c>
      <c r="E289" s="11">
        <v>86</v>
      </c>
      <c r="F289" s="28">
        <v>267</v>
      </c>
      <c r="G289" s="11">
        <v>396</v>
      </c>
      <c r="H289" s="11">
        <v>104</v>
      </c>
      <c r="I289" s="11">
        <v>1000</v>
      </c>
      <c r="J289" s="16">
        <v>0.26700000000000002</v>
      </c>
    </row>
    <row r="290" spans="1:10" x14ac:dyDescent="0.35">
      <c r="A290" s="27" t="s">
        <v>153</v>
      </c>
      <c r="B290" s="11">
        <v>25</v>
      </c>
      <c r="C290" s="11">
        <v>7</v>
      </c>
      <c r="D290" s="11">
        <v>10</v>
      </c>
      <c r="E290" s="11">
        <v>100</v>
      </c>
      <c r="F290" s="11">
        <v>145</v>
      </c>
      <c r="G290" s="28">
        <v>433</v>
      </c>
      <c r="H290" s="11">
        <v>280</v>
      </c>
      <c r="I290" s="11">
        <v>1000</v>
      </c>
      <c r="J290" s="16">
        <v>0.433</v>
      </c>
    </row>
    <row r="291" spans="1:10" x14ac:dyDescent="0.35">
      <c r="A291" s="27" t="s">
        <v>154</v>
      </c>
      <c r="B291" s="11">
        <v>6</v>
      </c>
      <c r="C291" s="11">
        <v>1</v>
      </c>
      <c r="D291" s="11">
        <v>27</v>
      </c>
      <c r="E291" s="11">
        <v>116</v>
      </c>
      <c r="F291" s="11">
        <v>74</v>
      </c>
      <c r="G291" s="11">
        <v>210</v>
      </c>
      <c r="H291" s="28">
        <v>566</v>
      </c>
      <c r="I291" s="11">
        <v>1000</v>
      </c>
      <c r="J291" s="16">
        <v>0.56599999999999995</v>
      </c>
    </row>
    <row r="293" spans="1:10" x14ac:dyDescent="0.35">
      <c r="A293" s="26" t="s">
        <v>190</v>
      </c>
    </row>
    <row r="294" spans="1:10" x14ac:dyDescent="0.35">
      <c r="A294" s="9" t="s">
        <v>160</v>
      </c>
      <c r="B294" s="9" t="s">
        <v>148</v>
      </c>
      <c r="C294" s="9" t="s">
        <v>149</v>
      </c>
      <c r="D294" s="9" t="s">
        <v>150</v>
      </c>
      <c r="E294" s="9" t="s">
        <v>151</v>
      </c>
      <c r="F294" s="9" t="s">
        <v>152</v>
      </c>
      <c r="G294" s="9" t="s">
        <v>153</v>
      </c>
      <c r="H294" s="9" t="s">
        <v>154</v>
      </c>
      <c r="I294" s="9" t="s">
        <v>123</v>
      </c>
      <c r="J294" s="9" t="s">
        <v>161</v>
      </c>
    </row>
    <row r="295" spans="1:10" x14ac:dyDescent="0.35">
      <c r="A295" s="27" t="s">
        <v>148</v>
      </c>
      <c r="B295" s="28">
        <v>704</v>
      </c>
      <c r="C295" s="11">
        <v>100</v>
      </c>
      <c r="D295" s="11">
        <v>34</v>
      </c>
      <c r="E295" s="11">
        <v>75</v>
      </c>
      <c r="F295" s="11">
        <v>28</v>
      </c>
      <c r="G295" s="11">
        <v>2</v>
      </c>
      <c r="H295" s="11">
        <v>17</v>
      </c>
      <c r="I295" s="11">
        <v>960</v>
      </c>
      <c r="J295" s="16">
        <v>0.73333333333333328</v>
      </c>
    </row>
    <row r="296" spans="1:10" x14ac:dyDescent="0.35">
      <c r="A296" s="27" t="s">
        <v>149</v>
      </c>
      <c r="B296" s="11">
        <v>120</v>
      </c>
      <c r="C296" s="28">
        <v>752</v>
      </c>
      <c r="D296" s="11">
        <v>98</v>
      </c>
      <c r="E296" s="11">
        <v>4</v>
      </c>
      <c r="F296" s="11">
        <v>21</v>
      </c>
      <c r="G296" s="11">
        <v>4</v>
      </c>
      <c r="H296" s="11">
        <v>1</v>
      </c>
      <c r="I296" s="11">
        <v>1000</v>
      </c>
      <c r="J296" s="16">
        <v>0.752</v>
      </c>
    </row>
    <row r="297" spans="1:10" x14ac:dyDescent="0.35">
      <c r="A297" s="27" t="s">
        <v>150</v>
      </c>
      <c r="B297" s="11">
        <v>23</v>
      </c>
      <c r="C297" s="11">
        <v>56</v>
      </c>
      <c r="D297" s="28">
        <v>910</v>
      </c>
      <c r="E297" s="11">
        <v>1</v>
      </c>
      <c r="F297" s="11">
        <v>8</v>
      </c>
      <c r="G297" s="11">
        <v>0</v>
      </c>
      <c r="H297" s="11">
        <v>2</v>
      </c>
      <c r="I297" s="11">
        <v>1000</v>
      </c>
      <c r="J297" s="16">
        <v>0.91</v>
      </c>
    </row>
    <row r="298" spans="1:10" x14ac:dyDescent="0.35">
      <c r="A298" s="27" t="s">
        <v>151</v>
      </c>
      <c r="B298" s="11">
        <v>91</v>
      </c>
      <c r="C298" s="11">
        <v>11</v>
      </c>
      <c r="D298" s="11">
        <v>12</v>
      </c>
      <c r="E298" s="28">
        <v>325</v>
      </c>
      <c r="F298" s="11">
        <v>114</v>
      </c>
      <c r="G298" s="11">
        <v>186</v>
      </c>
      <c r="H298" s="11">
        <v>261</v>
      </c>
      <c r="I298" s="11">
        <v>1000</v>
      </c>
      <c r="J298" s="16">
        <v>0.32500000000000001</v>
      </c>
    </row>
    <row r="299" spans="1:10" x14ac:dyDescent="0.35">
      <c r="A299" s="27" t="s">
        <v>152</v>
      </c>
      <c r="B299" s="11">
        <v>85</v>
      </c>
      <c r="C299" s="11">
        <v>26</v>
      </c>
      <c r="D299" s="11">
        <v>103</v>
      </c>
      <c r="E299" s="11">
        <v>166</v>
      </c>
      <c r="F299" s="28">
        <v>218</v>
      </c>
      <c r="G299" s="11">
        <v>307</v>
      </c>
      <c r="H299" s="11">
        <v>95</v>
      </c>
      <c r="I299" s="11">
        <v>1000</v>
      </c>
      <c r="J299" s="16">
        <v>0.218</v>
      </c>
    </row>
    <row r="300" spans="1:10" x14ac:dyDescent="0.35">
      <c r="A300" s="27" t="s">
        <v>153</v>
      </c>
      <c r="B300" s="11">
        <v>36</v>
      </c>
      <c r="C300" s="11">
        <v>6</v>
      </c>
      <c r="D300" s="11">
        <v>12</v>
      </c>
      <c r="E300" s="11">
        <v>200</v>
      </c>
      <c r="F300" s="11">
        <v>132</v>
      </c>
      <c r="G300" s="28">
        <v>347</v>
      </c>
      <c r="H300" s="11">
        <v>267</v>
      </c>
      <c r="I300" s="11">
        <v>1000</v>
      </c>
      <c r="J300" s="16">
        <v>0.34699999999999998</v>
      </c>
    </row>
    <row r="301" spans="1:10" x14ac:dyDescent="0.35">
      <c r="A301" s="27" t="s">
        <v>154</v>
      </c>
      <c r="B301" s="11">
        <v>15</v>
      </c>
      <c r="C301" s="11">
        <v>2</v>
      </c>
      <c r="D301" s="11">
        <v>41</v>
      </c>
      <c r="E301" s="11">
        <v>204</v>
      </c>
      <c r="F301" s="11">
        <v>51</v>
      </c>
      <c r="G301" s="11">
        <v>152</v>
      </c>
      <c r="H301" s="28">
        <v>535</v>
      </c>
      <c r="I301" s="11">
        <v>1000</v>
      </c>
      <c r="J301" s="16">
        <v>0.53500000000000003</v>
      </c>
    </row>
    <row r="303" spans="1:10" x14ac:dyDescent="0.35">
      <c r="A303" s="26" t="s">
        <v>191</v>
      </c>
    </row>
    <row r="304" spans="1:10" x14ac:dyDescent="0.35">
      <c r="A304" s="9" t="s">
        <v>160</v>
      </c>
      <c r="B304" s="9" t="s">
        <v>148</v>
      </c>
      <c r="C304" s="9" t="s">
        <v>149</v>
      </c>
      <c r="D304" s="9" t="s">
        <v>150</v>
      </c>
      <c r="E304" s="9" t="s">
        <v>151</v>
      </c>
      <c r="F304" s="9" t="s">
        <v>152</v>
      </c>
      <c r="G304" s="9" t="s">
        <v>153</v>
      </c>
      <c r="H304" s="9" t="s">
        <v>154</v>
      </c>
      <c r="I304" s="9" t="s">
        <v>123</v>
      </c>
      <c r="J304" s="9" t="s">
        <v>161</v>
      </c>
    </row>
    <row r="305" spans="1:10" x14ac:dyDescent="0.35">
      <c r="A305" s="27" t="s">
        <v>148</v>
      </c>
      <c r="B305" s="28">
        <v>706</v>
      </c>
      <c r="C305" s="11">
        <v>97</v>
      </c>
      <c r="D305" s="11">
        <v>35</v>
      </c>
      <c r="E305" s="11">
        <v>75</v>
      </c>
      <c r="F305" s="11">
        <v>28</v>
      </c>
      <c r="G305" s="11">
        <v>2</v>
      </c>
      <c r="H305" s="11">
        <v>17</v>
      </c>
      <c r="I305" s="11">
        <v>960</v>
      </c>
      <c r="J305" s="16">
        <v>0.73541666666666672</v>
      </c>
    </row>
    <row r="306" spans="1:10" x14ac:dyDescent="0.35">
      <c r="A306" s="27" t="s">
        <v>149</v>
      </c>
      <c r="B306" s="11">
        <v>120</v>
      </c>
      <c r="C306" s="28">
        <v>750</v>
      </c>
      <c r="D306" s="11">
        <v>100</v>
      </c>
      <c r="E306" s="11">
        <v>4</v>
      </c>
      <c r="F306" s="11">
        <v>21</v>
      </c>
      <c r="G306" s="11">
        <v>4</v>
      </c>
      <c r="H306" s="11">
        <v>1</v>
      </c>
      <c r="I306" s="11">
        <v>1000</v>
      </c>
      <c r="J306" s="16">
        <v>0.75</v>
      </c>
    </row>
    <row r="307" spans="1:10" x14ac:dyDescent="0.35">
      <c r="A307" s="27" t="s">
        <v>150</v>
      </c>
      <c r="B307" s="11">
        <v>23</v>
      </c>
      <c r="C307" s="11">
        <v>54</v>
      </c>
      <c r="D307" s="28">
        <v>912</v>
      </c>
      <c r="E307" s="11">
        <v>1</v>
      </c>
      <c r="F307" s="11">
        <v>8</v>
      </c>
      <c r="G307" s="11">
        <v>0</v>
      </c>
      <c r="H307" s="11">
        <v>2</v>
      </c>
      <c r="I307" s="11">
        <v>1000</v>
      </c>
      <c r="J307" s="16">
        <v>0.91200000000000003</v>
      </c>
    </row>
    <row r="308" spans="1:10" x14ac:dyDescent="0.35">
      <c r="A308" s="27" t="s">
        <v>151</v>
      </c>
      <c r="B308" s="11">
        <v>89</v>
      </c>
      <c r="C308" s="11">
        <v>11</v>
      </c>
      <c r="D308" s="11">
        <v>12</v>
      </c>
      <c r="E308" s="28">
        <v>325</v>
      </c>
      <c r="F308" s="11">
        <v>113</v>
      </c>
      <c r="G308" s="11">
        <v>185</v>
      </c>
      <c r="H308" s="11">
        <v>265</v>
      </c>
      <c r="I308" s="11">
        <v>1000</v>
      </c>
      <c r="J308" s="16">
        <v>0.32500000000000001</v>
      </c>
    </row>
    <row r="309" spans="1:10" x14ac:dyDescent="0.35">
      <c r="A309" s="27" t="s">
        <v>152</v>
      </c>
      <c r="B309" s="11">
        <v>85</v>
      </c>
      <c r="C309" s="11">
        <v>24</v>
      </c>
      <c r="D309" s="11">
        <v>105</v>
      </c>
      <c r="E309" s="11">
        <v>166</v>
      </c>
      <c r="F309" s="28">
        <v>217</v>
      </c>
      <c r="G309" s="11">
        <v>306</v>
      </c>
      <c r="H309" s="11">
        <v>97</v>
      </c>
      <c r="I309" s="11">
        <v>1000</v>
      </c>
      <c r="J309" s="16">
        <v>0.217</v>
      </c>
    </row>
    <row r="310" spans="1:10" x14ac:dyDescent="0.35">
      <c r="A310" s="27" t="s">
        <v>153</v>
      </c>
      <c r="B310" s="11">
        <v>36</v>
      </c>
      <c r="C310" s="11">
        <v>6</v>
      </c>
      <c r="D310" s="11">
        <v>12</v>
      </c>
      <c r="E310" s="11">
        <v>199</v>
      </c>
      <c r="F310" s="11">
        <v>132</v>
      </c>
      <c r="G310" s="28">
        <v>346</v>
      </c>
      <c r="H310" s="11">
        <v>269</v>
      </c>
      <c r="I310" s="11">
        <v>1000</v>
      </c>
      <c r="J310" s="16">
        <v>0.34599999999999997</v>
      </c>
    </row>
    <row r="311" spans="1:10" x14ac:dyDescent="0.35">
      <c r="A311" s="27" t="s">
        <v>154</v>
      </c>
      <c r="B311" s="11">
        <v>15</v>
      </c>
      <c r="C311" s="11">
        <v>2</v>
      </c>
      <c r="D311" s="11">
        <v>41</v>
      </c>
      <c r="E311" s="11">
        <v>202</v>
      </c>
      <c r="F311" s="11">
        <v>51</v>
      </c>
      <c r="G311" s="11">
        <v>148</v>
      </c>
      <c r="H311" s="28">
        <v>541</v>
      </c>
      <c r="I311" s="11">
        <v>1000</v>
      </c>
      <c r="J311" s="16">
        <v>0.54100000000000004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" customWidth="1"/>
    <col min="2" max="32" width="8.453125" customWidth="1"/>
    <col min="33" max="34" width="14" customWidth="1"/>
    <col min="35" max="35" width="11" customWidth="1"/>
  </cols>
  <sheetData>
    <row r="1" spans="1:35" ht="18.5" x14ac:dyDescent="0.45">
      <c r="A1" s="8" t="s">
        <v>192</v>
      </c>
    </row>
    <row r="3" spans="1:35" ht="45" customHeight="1" x14ac:dyDescent="0.35">
      <c r="A3" s="9" t="s">
        <v>193</v>
      </c>
      <c r="B3" s="9" t="s">
        <v>194</v>
      </c>
      <c r="C3" s="9" t="s">
        <v>195</v>
      </c>
      <c r="D3" s="9" t="s">
        <v>196</v>
      </c>
      <c r="E3" s="9" t="s">
        <v>197</v>
      </c>
      <c r="F3" s="9" t="s">
        <v>198</v>
      </c>
      <c r="G3" s="9" t="s">
        <v>199</v>
      </c>
      <c r="H3" s="9" t="s">
        <v>200</v>
      </c>
      <c r="I3" s="9" t="s">
        <v>201</v>
      </c>
      <c r="J3" s="9" t="s">
        <v>202</v>
      </c>
      <c r="K3" s="9" t="s">
        <v>203</v>
      </c>
      <c r="L3" s="9" t="s">
        <v>204</v>
      </c>
      <c r="M3" s="9" t="s">
        <v>205</v>
      </c>
      <c r="N3" s="9" t="s">
        <v>206</v>
      </c>
      <c r="O3" s="9" t="s">
        <v>207</v>
      </c>
      <c r="P3" s="9" t="s">
        <v>208</v>
      </c>
      <c r="Q3" s="9" t="s">
        <v>209</v>
      </c>
      <c r="R3" s="9" t="s">
        <v>210</v>
      </c>
      <c r="S3" s="9" t="s">
        <v>211</v>
      </c>
      <c r="T3" s="9" t="s">
        <v>212</v>
      </c>
      <c r="U3" s="9" t="s">
        <v>213</v>
      </c>
      <c r="V3" s="9" t="s">
        <v>214</v>
      </c>
      <c r="W3" s="9" t="s">
        <v>215</v>
      </c>
      <c r="X3" s="9" t="s">
        <v>216</v>
      </c>
      <c r="Y3" s="9" t="s">
        <v>217</v>
      </c>
      <c r="Z3" s="9" t="s">
        <v>218</v>
      </c>
      <c r="AA3" s="9" t="s">
        <v>219</v>
      </c>
      <c r="AB3" s="9" t="s">
        <v>220</v>
      </c>
      <c r="AC3" s="9" t="s">
        <v>221</v>
      </c>
      <c r="AD3" s="9" t="s">
        <v>222</v>
      </c>
      <c r="AE3" s="9" t="s">
        <v>223</v>
      </c>
      <c r="AF3" s="9" t="s">
        <v>224</v>
      </c>
      <c r="AG3" s="9" t="s">
        <v>225</v>
      </c>
      <c r="AH3" s="9" t="s">
        <v>226</v>
      </c>
      <c r="AI3" s="9" t="s">
        <v>227</v>
      </c>
    </row>
    <row r="4" spans="1:35" x14ac:dyDescent="0.35">
      <c r="A4" s="27">
        <v>0</v>
      </c>
      <c r="B4" s="18">
        <v>1.086497902870178</v>
      </c>
      <c r="C4" s="18">
        <v>0.74629485607147217</v>
      </c>
      <c r="D4" s="18">
        <v>0.42134004831314092</v>
      </c>
      <c r="E4" s="18">
        <v>0.40046903491020203</v>
      </c>
      <c r="F4" s="18">
        <v>1.4352775178849701E-2</v>
      </c>
      <c r="G4" s="18">
        <v>1.5146512305364011E-3</v>
      </c>
      <c r="H4" s="18">
        <v>3.7451647222042078E-4</v>
      </c>
      <c r="I4" s="18">
        <v>-1.666819443926215E-3</v>
      </c>
      <c r="J4" s="18">
        <v>6.6184707975480705E-5</v>
      </c>
      <c r="K4" s="18">
        <v>-3.5150075564160938E-4</v>
      </c>
      <c r="L4" s="18">
        <v>-3.3509792410768569E-4</v>
      </c>
      <c r="M4" s="18">
        <v>1.2906524352729321E-3</v>
      </c>
      <c r="N4" s="18">
        <v>-1.545591396279633E-3</v>
      </c>
      <c r="O4" s="18">
        <v>-9.7456882940605283E-4</v>
      </c>
      <c r="P4" s="18">
        <v>-6.8700821429956704E-5</v>
      </c>
      <c r="Q4" s="18">
        <v>3.7182820960879331E-4</v>
      </c>
      <c r="R4" s="18">
        <v>-1.3955356553196909E-3</v>
      </c>
      <c r="S4" s="18">
        <v>3.9606532664038241E-4</v>
      </c>
      <c r="T4" s="18">
        <v>-9.4672100385650992E-4</v>
      </c>
      <c r="U4" s="18">
        <v>-2.5247298253816549E-5</v>
      </c>
      <c r="V4" s="18">
        <v>1.101647794712335E-4</v>
      </c>
      <c r="W4" s="18">
        <v>-1.8932509701699021E-3</v>
      </c>
      <c r="X4" s="18">
        <v>-2.058511454379186E-4</v>
      </c>
      <c r="Y4" s="18">
        <v>1.410542521625757E-3</v>
      </c>
      <c r="Z4" s="18">
        <v>8.8950456120073795E-4</v>
      </c>
      <c r="AA4" s="18">
        <v>3.120677502010949E-5</v>
      </c>
      <c r="AB4" s="18">
        <v>1.766524626873434E-3</v>
      </c>
      <c r="AC4" s="18">
        <v>-1.0324971517547969E-3</v>
      </c>
      <c r="AD4" s="18">
        <v>-6.9734829594381154E-5</v>
      </c>
      <c r="AE4" s="18">
        <v>-4.9968669191002846E-3</v>
      </c>
      <c r="AF4" s="18">
        <v>-2.8600550722330809E-3</v>
      </c>
      <c r="AG4" s="17">
        <v>5</v>
      </c>
      <c r="AH4" s="16">
        <v>4.0000000000000001E-3</v>
      </c>
      <c r="AI4" s="17">
        <v>39</v>
      </c>
    </row>
    <row r="5" spans="1:35" x14ac:dyDescent="0.35">
      <c r="A5" s="27">
        <v>1</v>
      </c>
      <c r="B5" s="18">
        <v>1.021912693977356</v>
      </c>
      <c r="C5" s="18">
        <v>0.67789661884307861</v>
      </c>
      <c r="D5" s="18">
        <v>0.35438507795333862</v>
      </c>
      <c r="E5" s="18">
        <v>0.34764251112937927</v>
      </c>
      <c r="F5" s="18">
        <v>8.7132230401039124E-3</v>
      </c>
      <c r="G5" s="18">
        <v>1.443499606102705E-2</v>
      </c>
      <c r="H5" s="18">
        <v>9.2637509806081653E-4</v>
      </c>
      <c r="I5" s="18">
        <v>4.6653076424263418E-4</v>
      </c>
      <c r="J5" s="18">
        <v>8.6386367911472917E-5</v>
      </c>
      <c r="K5" s="18">
        <v>1.3732515799347311E-4</v>
      </c>
      <c r="L5" s="18">
        <v>1.708720519673079E-4</v>
      </c>
      <c r="M5" s="18">
        <v>8.9789362391456962E-4</v>
      </c>
      <c r="N5" s="18">
        <v>-3.6587734939530492E-4</v>
      </c>
      <c r="O5" s="18">
        <v>-1.2723465915769341E-3</v>
      </c>
      <c r="P5" s="18">
        <v>-1.3981988013256341E-4</v>
      </c>
      <c r="Q5" s="18">
        <v>-9.4378035282716155E-4</v>
      </c>
      <c r="R5" s="18">
        <v>3.7896267604082818E-3</v>
      </c>
      <c r="S5" s="18">
        <v>-2.1024933084845539E-3</v>
      </c>
      <c r="T5" s="18">
        <v>4.5117293484508991E-3</v>
      </c>
      <c r="U5" s="18">
        <v>1.4396538026630881E-3</v>
      </c>
      <c r="V5" s="18">
        <v>-1.3962724478915329E-3</v>
      </c>
      <c r="W5" s="18">
        <v>1.58300600014627E-3</v>
      </c>
      <c r="X5" s="18">
        <v>2.0821804646402602E-3</v>
      </c>
      <c r="Y5" s="18">
        <v>-1.6298951231874531E-4</v>
      </c>
      <c r="Z5" s="18">
        <v>4.8214560956694191E-4</v>
      </c>
      <c r="AA5" s="18">
        <v>2.245895797386765E-3</v>
      </c>
      <c r="AB5" s="18">
        <v>2.7955474797636271E-3</v>
      </c>
      <c r="AC5" s="18">
        <v>-2.4615684524178501E-3</v>
      </c>
      <c r="AD5" s="18">
        <v>2.6157908723689621E-4</v>
      </c>
      <c r="AE5" s="18">
        <v>-3.4659425728023048E-3</v>
      </c>
      <c r="AF5" s="18">
        <v>-4.0472783148288727E-3</v>
      </c>
      <c r="AG5" s="17">
        <v>5</v>
      </c>
      <c r="AH5" s="16">
        <v>5.0000000000000001E-3</v>
      </c>
      <c r="AI5" s="17">
        <v>38</v>
      </c>
    </row>
    <row r="6" spans="1:35" x14ac:dyDescent="0.35">
      <c r="A6" s="27">
        <v>2</v>
      </c>
      <c r="B6" s="18">
        <v>1.135004997253418</v>
      </c>
      <c r="C6" s="18">
        <v>0.76644861698150635</v>
      </c>
      <c r="D6" s="18">
        <v>0.45650792121887213</v>
      </c>
      <c r="E6" s="18">
        <v>0.40598538517951971</v>
      </c>
      <c r="F6" s="18">
        <v>3.3918309956789017E-2</v>
      </c>
      <c r="G6" s="18">
        <v>3.731246804818511E-3</v>
      </c>
      <c r="H6" s="18">
        <v>-3.8107633008621628E-4</v>
      </c>
      <c r="I6" s="18">
        <v>8.0270163016393781E-4</v>
      </c>
      <c r="J6" s="18">
        <v>4.1477567719994113E-5</v>
      </c>
      <c r="K6" s="18">
        <v>1.1352285509929061E-3</v>
      </c>
      <c r="L6" s="18">
        <v>1.2292171595618129E-4</v>
      </c>
      <c r="M6" s="18">
        <v>6.4344244310632348E-4</v>
      </c>
      <c r="N6" s="18">
        <v>2.2699518594890829E-3</v>
      </c>
      <c r="O6" s="18">
        <v>-1.6714441881049419E-4</v>
      </c>
      <c r="P6" s="18">
        <v>2.2627024736721071E-4</v>
      </c>
      <c r="Q6" s="18">
        <v>8.0201547825708985E-4</v>
      </c>
      <c r="R6" s="18">
        <v>1.846311148256063E-3</v>
      </c>
      <c r="S6" s="18">
        <v>3.7144143334444379E-6</v>
      </c>
      <c r="T6" s="18">
        <v>2.555320737883449E-3</v>
      </c>
      <c r="U6" s="18">
        <v>4.9929018132388592E-4</v>
      </c>
      <c r="V6" s="18">
        <v>5.2618997870013118E-4</v>
      </c>
      <c r="W6" s="18">
        <v>1.936063752509654E-3</v>
      </c>
      <c r="X6" s="18">
        <v>8.9431385276839137E-4</v>
      </c>
      <c r="Y6" s="18">
        <v>1.4290276449173691E-3</v>
      </c>
      <c r="Z6" s="18">
        <v>-1.30017998162657E-3</v>
      </c>
      <c r="AA6" s="18">
        <v>6.4823235152289271E-4</v>
      </c>
      <c r="AB6" s="18">
        <v>5.3458003094419837E-4</v>
      </c>
      <c r="AC6" s="18">
        <v>3.111241385340691E-3</v>
      </c>
      <c r="AD6" s="18">
        <v>3.4211532329209149E-4</v>
      </c>
      <c r="AE6" s="18">
        <v>2.2745248861610889E-3</v>
      </c>
      <c r="AF6" s="18">
        <v>-1.9368386128917341E-3</v>
      </c>
      <c r="AG6" s="17">
        <v>5</v>
      </c>
      <c r="AH6" s="16">
        <v>4.0000000000000001E-3</v>
      </c>
      <c r="AI6" s="17">
        <v>40</v>
      </c>
    </row>
    <row r="7" spans="1:35" x14ac:dyDescent="0.35">
      <c r="A7" s="27">
        <v>3</v>
      </c>
      <c r="B7" s="18">
        <v>1.0912213325500491</v>
      </c>
      <c r="C7" s="18">
        <v>0.7302430272102356</v>
      </c>
      <c r="D7" s="18">
        <v>0.41656181216239929</v>
      </c>
      <c r="E7" s="18">
        <v>0.32661581039428711</v>
      </c>
      <c r="F7" s="18">
        <v>1.4681232278235259E-4</v>
      </c>
      <c r="G7" s="18">
        <v>1.339999653282575E-5</v>
      </c>
      <c r="H7" s="18">
        <v>2.1760810341220349E-4</v>
      </c>
      <c r="I7" s="18">
        <v>7.0034665986895561E-4</v>
      </c>
      <c r="J7" s="18">
        <v>2.5742765865288669E-4</v>
      </c>
      <c r="K7" s="18">
        <v>-2.8305614250712102E-4</v>
      </c>
      <c r="L7" s="18">
        <v>-5.6315846450161189E-5</v>
      </c>
      <c r="M7" s="18">
        <v>-6.1929551884531975E-4</v>
      </c>
      <c r="N7" s="18">
        <v>2.3732398403808469E-4</v>
      </c>
      <c r="O7" s="18">
        <v>2.6237970450893039E-4</v>
      </c>
      <c r="P7" s="18">
        <v>-9.9632394267246127E-5</v>
      </c>
      <c r="Q7" s="18">
        <v>1.145160174928606E-3</v>
      </c>
      <c r="R7" s="18">
        <v>1.5710343141108749E-3</v>
      </c>
      <c r="S7" s="18">
        <v>-5.2750085160369047E-5</v>
      </c>
      <c r="T7" s="18">
        <v>1.183535670861602E-3</v>
      </c>
      <c r="U7" s="18">
        <v>1.232522423379123E-3</v>
      </c>
      <c r="V7" s="18">
        <v>5.56521350517869E-4</v>
      </c>
      <c r="W7" s="18">
        <v>-1.517819939181209E-3</v>
      </c>
      <c r="X7" s="18">
        <v>-2.2099014313425869E-4</v>
      </c>
      <c r="Y7" s="18">
        <v>-1.627192716114223E-3</v>
      </c>
      <c r="Z7" s="18">
        <v>7.0933741517364979E-4</v>
      </c>
      <c r="AA7" s="18">
        <v>-8.19712586235255E-5</v>
      </c>
      <c r="AB7" s="18">
        <v>-6.587285315617919E-5</v>
      </c>
      <c r="AC7" s="18">
        <v>6.5727165201678872E-4</v>
      </c>
      <c r="AD7" s="18">
        <v>5.2308931481093168E-4</v>
      </c>
      <c r="AE7" s="18">
        <v>1.404952490702271E-3</v>
      </c>
      <c r="AF7" s="18">
        <v>6.2170578166842461E-4</v>
      </c>
      <c r="AG7" s="17">
        <v>4</v>
      </c>
      <c r="AH7" s="16">
        <v>3.0000000000000001E-3</v>
      </c>
      <c r="AI7" s="17">
        <v>53</v>
      </c>
    </row>
    <row r="8" spans="1:35" x14ac:dyDescent="0.35">
      <c r="A8" s="27">
        <v>4</v>
      </c>
      <c r="B8" s="18">
        <v>1.4042462110519409</v>
      </c>
      <c r="C8" s="18">
        <v>1.053427934646606</v>
      </c>
      <c r="D8" s="18">
        <v>0.80793923139572144</v>
      </c>
      <c r="E8" s="18">
        <v>0.75836038589477539</v>
      </c>
      <c r="F8" s="18">
        <v>0.60792279243469238</v>
      </c>
      <c r="G8" s="18">
        <v>0.53534996509552002</v>
      </c>
      <c r="H8" s="18">
        <v>0.42919549345970148</v>
      </c>
      <c r="I8" s="18">
        <v>0.42008072137832642</v>
      </c>
      <c r="J8" s="18">
        <v>0.32958176732063288</v>
      </c>
      <c r="K8" s="18">
        <v>0.35422492027282709</v>
      </c>
      <c r="L8" s="18">
        <v>0.28074190020561218</v>
      </c>
      <c r="M8" s="18">
        <v>0.34220123291015619</v>
      </c>
      <c r="N8" s="18">
        <v>0.38155117630958563</v>
      </c>
      <c r="O8" s="18">
        <v>0.40117445588111877</v>
      </c>
      <c r="P8" s="18">
        <v>0.3269466757774353</v>
      </c>
      <c r="Q8" s="18">
        <v>0.31384456157684332</v>
      </c>
      <c r="R8" s="18">
        <v>0.35640662908554083</v>
      </c>
      <c r="S8" s="18">
        <v>0.37113776803016663</v>
      </c>
      <c r="T8" s="18">
        <v>0.35730281472206121</v>
      </c>
      <c r="U8" s="18">
        <v>0.43339502811431879</v>
      </c>
      <c r="V8" s="18">
        <v>1.8580820178613071E-3</v>
      </c>
      <c r="W8" s="18">
        <v>1.168154645711184E-3</v>
      </c>
      <c r="X8" s="18">
        <v>5.3620728431269526E-4</v>
      </c>
      <c r="Y8" s="18">
        <v>1.8717614002525811E-3</v>
      </c>
      <c r="Z8" s="18">
        <v>1.187045927508734E-4</v>
      </c>
      <c r="AA8" s="18">
        <v>2.2876057773828511E-3</v>
      </c>
      <c r="AB8" s="18">
        <v>-9.0139050735160708E-4</v>
      </c>
      <c r="AC8" s="18">
        <v>1.660457463003695E-3</v>
      </c>
      <c r="AD8" s="18">
        <v>-1.6334386309608819E-3</v>
      </c>
      <c r="AE8" s="18">
        <v>-3.6052693030796951E-4</v>
      </c>
      <c r="AF8" s="18">
        <v>4.0849499055184419E-4</v>
      </c>
      <c r="AG8" s="17">
        <v>20</v>
      </c>
      <c r="AH8" s="16">
        <v>1.9E-2</v>
      </c>
      <c r="AI8" s="17">
        <v>8</v>
      </c>
    </row>
    <row r="9" spans="1:35" x14ac:dyDescent="0.35">
      <c r="A9" s="27">
        <v>5</v>
      </c>
      <c r="B9" s="18">
        <v>1.0787990093231199</v>
      </c>
      <c r="C9" s="18">
        <v>0.70951443910598755</v>
      </c>
      <c r="D9" s="18">
        <v>0.40547096729278559</v>
      </c>
      <c r="E9" s="18">
        <v>0.39954087138175959</v>
      </c>
      <c r="F9" s="18">
        <v>5.0251621752977371E-2</v>
      </c>
      <c r="G9" s="18">
        <v>2.0552414935082202E-3</v>
      </c>
      <c r="H9" s="18">
        <v>2.7473861700855201E-4</v>
      </c>
      <c r="I9" s="18">
        <v>-4.1082585084950551E-5</v>
      </c>
      <c r="J9" s="18">
        <v>-1.9769850769080219E-4</v>
      </c>
      <c r="K9" s="18">
        <v>5.626933416351676E-4</v>
      </c>
      <c r="L9" s="18">
        <v>1.676750980550423E-4</v>
      </c>
      <c r="M9" s="18">
        <v>-7.7424122719094157E-4</v>
      </c>
      <c r="N9" s="18">
        <v>1.738385879434645E-3</v>
      </c>
      <c r="O9" s="18">
        <v>2.7707477565854792E-3</v>
      </c>
      <c r="P9" s="18">
        <v>-4.5529415365308518E-4</v>
      </c>
      <c r="Q9" s="18">
        <v>-7.0708990097045898E-4</v>
      </c>
      <c r="R9" s="18">
        <v>2.1945795742794871E-4</v>
      </c>
      <c r="S9" s="18">
        <v>1.0607630247250199E-3</v>
      </c>
      <c r="T9" s="18">
        <v>1.138012506999075E-3</v>
      </c>
      <c r="U9" s="18">
        <v>-1.2721039820462471E-4</v>
      </c>
      <c r="V9" s="18">
        <v>1.5389396576210861E-3</v>
      </c>
      <c r="W9" s="18">
        <v>-2.4998123990371818E-4</v>
      </c>
      <c r="X9" s="18">
        <v>2.0564524456858631E-3</v>
      </c>
      <c r="Y9" s="18">
        <v>1.4839726500213151E-3</v>
      </c>
      <c r="Z9" s="18">
        <v>-1.079148147255182E-3</v>
      </c>
      <c r="AA9" s="18">
        <v>6.7885540192946792E-4</v>
      </c>
      <c r="AB9" s="18">
        <v>-2.2615151829086239E-4</v>
      </c>
      <c r="AC9" s="18">
        <v>-6.0715380823239684E-4</v>
      </c>
      <c r="AD9" s="18">
        <v>-8.6132343858480453E-4</v>
      </c>
      <c r="AE9" s="18">
        <v>6.8256090162321925E-4</v>
      </c>
      <c r="AF9" s="18">
        <v>8.7777932640165091E-4</v>
      </c>
      <c r="AG9" s="17">
        <v>5</v>
      </c>
      <c r="AH9" s="16">
        <v>4.0000000000000001E-3</v>
      </c>
      <c r="AI9" s="17">
        <v>41</v>
      </c>
    </row>
    <row r="10" spans="1:35" x14ac:dyDescent="0.35">
      <c r="A10" s="27">
        <v>6</v>
      </c>
      <c r="B10" s="18">
        <v>1.4504086971282959</v>
      </c>
      <c r="C10" s="18">
        <v>1.142315030097961</v>
      </c>
      <c r="D10" s="18">
        <v>0.9114719033241272</v>
      </c>
      <c r="E10" s="18">
        <v>0.91951453685760498</v>
      </c>
      <c r="F10" s="18">
        <v>0.66028124094009399</v>
      </c>
      <c r="G10" s="18">
        <v>0.54210668802261353</v>
      </c>
      <c r="H10" s="18">
        <v>0.418631911277771</v>
      </c>
      <c r="I10" s="18">
        <v>0.42116379737853998</v>
      </c>
      <c r="J10" s="18">
        <v>0.35706079006195068</v>
      </c>
      <c r="K10" s="18">
        <v>0.40420812368392939</v>
      </c>
      <c r="L10" s="18">
        <v>0.31530207395553589</v>
      </c>
      <c r="M10" s="18">
        <v>0.37538498640060419</v>
      </c>
      <c r="N10" s="18">
        <v>0.43368586897850042</v>
      </c>
      <c r="O10" s="18">
        <v>0.42470604181289667</v>
      </c>
      <c r="P10" s="18">
        <v>0.37892836332321173</v>
      </c>
      <c r="Q10" s="18">
        <v>0.36763933300971979</v>
      </c>
      <c r="R10" s="18">
        <v>0.40641257166862488</v>
      </c>
      <c r="S10" s="18">
        <v>0.42869985103607178</v>
      </c>
      <c r="T10" s="18">
        <v>0.41637066006660461</v>
      </c>
      <c r="U10" s="18">
        <v>0.3617796003818512</v>
      </c>
      <c r="V10" s="18">
        <v>0.41186577081680298</v>
      </c>
      <c r="W10" s="18">
        <v>0.35710924863815308</v>
      </c>
      <c r="X10" s="18">
        <v>0.37812408804893488</v>
      </c>
      <c r="Y10" s="18">
        <v>0.36964312195777888</v>
      </c>
      <c r="Z10" s="18">
        <v>0.33375060558319092</v>
      </c>
      <c r="AA10" s="18">
        <v>0.35384649038314819</v>
      </c>
      <c r="AB10" s="18">
        <v>0.35414573550224299</v>
      </c>
      <c r="AC10" s="18">
        <v>0.33770695328712458</v>
      </c>
      <c r="AD10" s="18">
        <v>0.34872007369995123</v>
      </c>
      <c r="AE10" s="18">
        <v>0.38461577892303472</v>
      </c>
      <c r="AF10" s="18">
        <v>0.3785732090473175</v>
      </c>
      <c r="AG10" s="17">
        <v>31</v>
      </c>
      <c r="AH10" s="16">
        <v>0.03</v>
      </c>
      <c r="AI10" s="17">
        <v>1</v>
      </c>
    </row>
    <row r="11" spans="1:35" x14ac:dyDescent="0.35">
      <c r="A11" s="27">
        <v>7</v>
      </c>
      <c r="B11" s="18">
        <v>1.433068990707397</v>
      </c>
      <c r="C11" s="18">
        <v>1.0963255167007451</v>
      </c>
      <c r="D11" s="18">
        <v>0.86819219589233398</v>
      </c>
      <c r="E11" s="18">
        <v>0.81254708766937256</v>
      </c>
      <c r="F11" s="18">
        <v>0.73851364850997925</v>
      </c>
      <c r="G11" s="18">
        <v>0.61063778400421143</v>
      </c>
      <c r="H11" s="18">
        <v>0.49280992150306702</v>
      </c>
      <c r="I11" s="18">
        <v>0.50301510095596313</v>
      </c>
      <c r="J11" s="18">
        <v>0.39018526673316961</v>
      </c>
      <c r="K11" s="18">
        <v>0.41474100947380071</v>
      </c>
      <c r="L11" s="18">
        <v>0.33067825436592102</v>
      </c>
      <c r="M11" s="18">
        <v>0.45749321579933172</v>
      </c>
      <c r="N11" s="18">
        <v>0.5350685715675354</v>
      </c>
      <c r="O11" s="18">
        <v>0.59820067882537842</v>
      </c>
      <c r="P11" s="18">
        <v>0.46045124530792242</v>
      </c>
      <c r="Q11" s="18">
        <v>0.44508102536201483</v>
      </c>
      <c r="R11" s="18">
        <v>0.5742497444152832</v>
      </c>
      <c r="S11" s="18">
        <v>0.62694942951202393</v>
      </c>
      <c r="T11" s="18">
        <v>0.63748997449874878</v>
      </c>
      <c r="U11" s="18">
        <v>1.460558036342263E-3</v>
      </c>
      <c r="V11" s="18">
        <v>-6.2538339989259839E-4</v>
      </c>
      <c r="W11" s="18">
        <v>1.1311176931485529E-3</v>
      </c>
      <c r="X11" s="18">
        <v>-1.128584146499634E-3</v>
      </c>
      <c r="Y11" s="18">
        <v>-1.219519879668951E-3</v>
      </c>
      <c r="Z11" s="18">
        <v>1.504970015957952E-3</v>
      </c>
      <c r="AA11" s="18">
        <v>-1.354123349301517E-3</v>
      </c>
      <c r="AB11" s="18">
        <v>1.7372849397361281E-3</v>
      </c>
      <c r="AC11" s="18">
        <v>3.6789332516491409E-3</v>
      </c>
      <c r="AD11" s="18">
        <v>8.5229979595169425E-4</v>
      </c>
      <c r="AE11" s="18">
        <v>4.6388604678213596E-3</v>
      </c>
      <c r="AF11" s="18">
        <v>4.2167510837316513E-3</v>
      </c>
      <c r="AG11" s="17">
        <v>19</v>
      </c>
      <c r="AH11" s="16">
        <v>1.7999999999999999E-2</v>
      </c>
      <c r="AI11" s="17">
        <v>10</v>
      </c>
    </row>
    <row r="12" spans="1:35" x14ac:dyDescent="0.35">
      <c r="A12" s="27">
        <v>8</v>
      </c>
      <c r="B12" s="18">
        <v>1.203998923301697</v>
      </c>
      <c r="C12" s="18">
        <v>0.83665376901626587</v>
      </c>
      <c r="D12" s="18">
        <v>0.54386353492736816</v>
      </c>
      <c r="E12" s="18">
        <v>0.48220303654670721</v>
      </c>
      <c r="F12" s="18">
        <v>0.20982007682323461</v>
      </c>
      <c r="G12" s="18">
        <v>-1.5166664961725469E-3</v>
      </c>
      <c r="H12" s="18">
        <v>1.0235707122774331E-5</v>
      </c>
      <c r="I12" s="18">
        <v>-2.9442722734529528E-5</v>
      </c>
      <c r="J12" s="18">
        <v>-7.5587049650494009E-5</v>
      </c>
      <c r="K12" s="18">
        <v>-3.6782535607926548E-4</v>
      </c>
      <c r="L12" s="18">
        <v>-1.570590247865766E-4</v>
      </c>
      <c r="M12" s="18">
        <v>2.4225406377809119E-5</v>
      </c>
      <c r="N12" s="18">
        <v>5.3114129696041346E-4</v>
      </c>
      <c r="O12" s="18">
        <v>2.709751133807003E-4</v>
      </c>
      <c r="P12" s="18">
        <v>5.5136339506134391E-4</v>
      </c>
      <c r="Q12" s="18">
        <v>1.7927342560142279E-4</v>
      </c>
      <c r="R12" s="18">
        <v>3.9690901758149272E-4</v>
      </c>
      <c r="S12" s="18">
        <v>1.596717513166368E-3</v>
      </c>
      <c r="T12" s="18">
        <v>9.6294103423133492E-4</v>
      </c>
      <c r="U12" s="18">
        <v>-1.444637775421143E-3</v>
      </c>
      <c r="V12" s="18">
        <v>2.3163721198216081E-4</v>
      </c>
      <c r="W12" s="18">
        <v>1.407534000463784E-3</v>
      </c>
      <c r="X12" s="18">
        <v>1.043260446749628E-3</v>
      </c>
      <c r="Y12" s="18">
        <v>1.7433743923902509E-3</v>
      </c>
      <c r="Z12" s="18">
        <v>1.3433187268674369E-3</v>
      </c>
      <c r="AA12" s="18">
        <v>2.0120088011026378E-3</v>
      </c>
      <c r="AB12" s="18">
        <v>1.6987915150821209E-3</v>
      </c>
      <c r="AC12" s="18">
        <v>7.600350072607398E-4</v>
      </c>
      <c r="AD12" s="18">
        <v>6.3831910665612668E-5</v>
      </c>
      <c r="AE12" s="18">
        <v>-2.278503030538559E-3</v>
      </c>
      <c r="AF12" s="18">
        <v>2.7334678452461958E-4</v>
      </c>
      <c r="AG12" s="17">
        <v>5</v>
      </c>
      <c r="AH12" s="16">
        <v>4.0000000000000001E-3</v>
      </c>
      <c r="AI12" s="17">
        <v>42</v>
      </c>
    </row>
    <row r="13" spans="1:35" x14ac:dyDescent="0.35">
      <c r="A13" s="27">
        <v>9</v>
      </c>
      <c r="B13" s="18">
        <v>1.0542610883712771</v>
      </c>
      <c r="C13" s="18">
        <v>0.67897862195968628</v>
      </c>
      <c r="D13" s="18">
        <v>0.33318540453910828</v>
      </c>
      <c r="E13" s="18">
        <v>0.33476737141609192</v>
      </c>
      <c r="F13" s="18">
        <v>1.3958417112007739E-3</v>
      </c>
      <c r="G13" s="18">
        <v>5.7549968914827332E-5</v>
      </c>
      <c r="H13" s="18">
        <v>4.0819542482495308E-4</v>
      </c>
      <c r="I13" s="18">
        <v>-4.1434579179622227E-4</v>
      </c>
      <c r="J13" s="18">
        <v>-4.8576523113297299E-5</v>
      </c>
      <c r="K13" s="18">
        <v>4.8491810957784756E-6</v>
      </c>
      <c r="L13" s="18">
        <v>-3.372720093466341E-4</v>
      </c>
      <c r="M13" s="18">
        <v>6.7730550654232502E-4</v>
      </c>
      <c r="N13" s="18">
        <v>1.2573217099998149E-4</v>
      </c>
      <c r="O13" s="18">
        <v>-8.3166209515184164E-4</v>
      </c>
      <c r="P13" s="18">
        <v>-1.4547546743415299E-4</v>
      </c>
      <c r="Q13" s="18">
        <v>-7.1847974322736263E-4</v>
      </c>
      <c r="R13" s="18">
        <v>9.9296667031012475E-5</v>
      </c>
      <c r="S13" s="18">
        <v>1.731766271404922E-3</v>
      </c>
      <c r="T13" s="18">
        <v>1.9266235176473859E-4</v>
      </c>
      <c r="U13" s="18">
        <v>-1.316833193413913E-3</v>
      </c>
      <c r="V13" s="18">
        <v>1.3440578186418861E-4</v>
      </c>
      <c r="W13" s="18">
        <v>-1.838027383200824E-3</v>
      </c>
      <c r="X13" s="18">
        <v>1.1821225780295209E-4</v>
      </c>
      <c r="Y13" s="18">
        <v>-4.7834526048973203E-4</v>
      </c>
      <c r="Z13" s="18">
        <v>1.3741832226514821E-3</v>
      </c>
      <c r="AA13" s="18">
        <v>5.6690233759582043E-4</v>
      </c>
      <c r="AB13" s="18">
        <v>-7.6302344677969813E-4</v>
      </c>
      <c r="AC13" s="18">
        <v>1.3633379712700839E-3</v>
      </c>
      <c r="AD13" s="18">
        <v>-1.708513824269176E-3</v>
      </c>
      <c r="AE13" s="18">
        <v>2.6627462357282639E-3</v>
      </c>
      <c r="AF13" s="18">
        <v>-9.1378606157377362E-4</v>
      </c>
      <c r="AG13" s="17">
        <v>4</v>
      </c>
      <c r="AH13" s="16">
        <v>3.0000000000000001E-3</v>
      </c>
      <c r="AI13" s="17">
        <v>54</v>
      </c>
    </row>
    <row r="14" spans="1:35" x14ac:dyDescent="0.35">
      <c r="A14" s="27">
        <v>10</v>
      </c>
      <c r="B14" s="18">
        <v>1.205382704734802</v>
      </c>
      <c r="C14" s="18">
        <v>0.84936630725860596</v>
      </c>
      <c r="D14" s="18">
        <v>0.56577837467193604</v>
      </c>
      <c r="E14" s="18">
        <v>0.52677071094512939</v>
      </c>
      <c r="F14" s="18">
        <v>0.23956188559532171</v>
      </c>
      <c r="G14" s="18">
        <v>0.19172182679176331</v>
      </c>
      <c r="H14" s="18">
        <v>0.13906028866767881</v>
      </c>
      <c r="I14" s="18">
        <v>0.14501942694187159</v>
      </c>
      <c r="J14" s="18">
        <v>0.1106942072510719</v>
      </c>
      <c r="K14" s="18">
        <v>8.2217834889888763E-2</v>
      </c>
      <c r="L14" s="18">
        <v>3.6657083546742802E-4</v>
      </c>
      <c r="M14" s="18">
        <v>-2.8910007677040989E-4</v>
      </c>
      <c r="N14" s="18">
        <v>1.4225732302293179E-3</v>
      </c>
      <c r="O14" s="18">
        <v>7.4367685010656714E-4</v>
      </c>
      <c r="P14" s="18">
        <v>5.562723963521421E-4</v>
      </c>
      <c r="Q14" s="18">
        <v>-2.8344723978079861E-4</v>
      </c>
      <c r="R14" s="18">
        <v>-5.0141382962465286E-4</v>
      </c>
      <c r="S14" s="18">
        <v>-3.335552173666656E-4</v>
      </c>
      <c r="T14" s="18">
        <v>1.2779566459357741E-3</v>
      </c>
      <c r="U14" s="18">
        <v>-8.4766891086474061E-4</v>
      </c>
      <c r="V14" s="18">
        <v>6.2223413260653615E-4</v>
      </c>
      <c r="W14" s="18">
        <v>1.6611707396805291E-3</v>
      </c>
      <c r="X14" s="18">
        <v>1.2470642104744909E-3</v>
      </c>
      <c r="Y14" s="18">
        <v>1.306263729929924E-3</v>
      </c>
      <c r="Z14" s="18">
        <v>-1.0878539178520441E-3</v>
      </c>
      <c r="AA14" s="18">
        <v>-4.6589627163484693E-4</v>
      </c>
      <c r="AB14" s="18">
        <v>-9.2990946723148227E-4</v>
      </c>
      <c r="AC14" s="18">
        <v>7.2755396831780672E-4</v>
      </c>
      <c r="AD14" s="18">
        <v>3.0636112205684189E-3</v>
      </c>
      <c r="AE14" s="18">
        <v>-1.3835435966029761E-3</v>
      </c>
      <c r="AF14" s="18">
        <v>1.282951096072793E-3</v>
      </c>
      <c r="AG14" s="17">
        <v>10</v>
      </c>
      <c r="AH14" s="16">
        <v>8.9999999999999993E-3</v>
      </c>
      <c r="AI14" s="17">
        <v>24</v>
      </c>
    </row>
    <row r="15" spans="1:35" x14ac:dyDescent="0.35">
      <c r="A15" s="27">
        <v>11</v>
      </c>
      <c r="B15" s="18">
        <v>1.0849049091339109</v>
      </c>
      <c r="C15" s="18">
        <v>0.73316347599029541</v>
      </c>
      <c r="D15" s="18">
        <v>0.44998207688331598</v>
      </c>
      <c r="E15" s="18">
        <v>0.39578542113304138</v>
      </c>
      <c r="F15" s="18">
        <v>0.10496674478054049</v>
      </c>
      <c r="G15" s="18">
        <v>2.9883505776524539E-3</v>
      </c>
      <c r="H15" s="18">
        <v>2.0719201711472121E-4</v>
      </c>
      <c r="I15" s="18">
        <v>5.6449853582307696E-4</v>
      </c>
      <c r="J15" s="18">
        <v>-9.8017735581379384E-5</v>
      </c>
      <c r="K15" s="18">
        <v>5.9602002147585154E-4</v>
      </c>
      <c r="L15" s="18">
        <v>2.4675470194779342E-4</v>
      </c>
      <c r="M15" s="18">
        <v>-1.219969562953338E-4</v>
      </c>
      <c r="N15" s="18">
        <v>-5.6504723033867783E-5</v>
      </c>
      <c r="O15" s="18">
        <v>-3.3143837936222548E-4</v>
      </c>
      <c r="P15" s="18">
        <v>7.976486231200397E-4</v>
      </c>
      <c r="Q15" s="18">
        <v>-2.7741948724724352E-4</v>
      </c>
      <c r="R15" s="18">
        <v>1.4345548115670681E-3</v>
      </c>
      <c r="S15" s="18">
        <v>7.3428876930847764E-4</v>
      </c>
      <c r="T15" s="18">
        <v>8.6197577184066176E-4</v>
      </c>
      <c r="U15" s="18">
        <v>9.2064822092652321E-4</v>
      </c>
      <c r="V15" s="18">
        <v>3.5683333408087492E-4</v>
      </c>
      <c r="W15" s="18">
        <v>-5.5056682322174311E-4</v>
      </c>
      <c r="X15" s="18">
        <v>1.9949619309045369E-4</v>
      </c>
      <c r="Y15" s="18">
        <v>6.4699799986556172E-4</v>
      </c>
      <c r="Z15" s="18">
        <v>-1.745541958371177E-4</v>
      </c>
      <c r="AA15" s="18">
        <v>1.8015746027231221E-3</v>
      </c>
      <c r="AB15" s="18">
        <v>8.8477600365877151E-4</v>
      </c>
      <c r="AC15" s="18">
        <v>6.043753819540143E-4</v>
      </c>
      <c r="AD15" s="18">
        <v>-1.200565486215055E-3</v>
      </c>
      <c r="AE15" s="18">
        <v>9.4929477199912071E-4</v>
      </c>
      <c r="AF15" s="18">
        <v>3.7263771519064899E-3</v>
      </c>
      <c r="AG15" s="17">
        <v>5</v>
      </c>
      <c r="AH15" s="16">
        <v>4.0000000000000001E-3</v>
      </c>
      <c r="AI15" s="17">
        <v>43</v>
      </c>
    </row>
    <row r="16" spans="1:35" x14ac:dyDescent="0.35">
      <c r="A16" s="27">
        <v>12</v>
      </c>
      <c r="B16" s="18">
        <v>0.98566174507141113</v>
      </c>
      <c r="C16" s="18">
        <v>0.59979349374771118</v>
      </c>
      <c r="D16" s="18">
        <v>0.22712868452072141</v>
      </c>
      <c r="E16" s="18">
        <v>0.2318951487541199</v>
      </c>
      <c r="F16" s="18">
        <v>5.6498224148526788E-4</v>
      </c>
      <c r="G16" s="18">
        <v>7.233843207359314E-4</v>
      </c>
      <c r="H16" s="18">
        <v>8.4161205450072885E-5</v>
      </c>
      <c r="I16" s="18">
        <v>-4.5680833864025772E-4</v>
      </c>
      <c r="J16" s="18">
        <v>-2.5793924578465521E-4</v>
      </c>
      <c r="K16" s="18">
        <v>4.2994928662665188E-4</v>
      </c>
      <c r="L16" s="18">
        <v>1.8687526335270379E-6</v>
      </c>
      <c r="M16" s="18">
        <v>3.8812894490547478E-4</v>
      </c>
      <c r="N16" s="18">
        <v>-3.2534639467485249E-4</v>
      </c>
      <c r="O16" s="18">
        <v>3.6398484371602541E-4</v>
      </c>
      <c r="P16" s="18">
        <v>3.9489043410867453E-4</v>
      </c>
      <c r="Q16" s="18">
        <v>-7.6401833212003112E-4</v>
      </c>
      <c r="R16" s="18">
        <v>-1.103231406887062E-4</v>
      </c>
      <c r="S16" s="18">
        <v>-1.590763917192817E-3</v>
      </c>
      <c r="T16" s="18">
        <v>1.0486912215128541E-3</v>
      </c>
      <c r="U16" s="18">
        <v>1.3269030023366211E-3</v>
      </c>
      <c r="V16" s="18">
        <v>-5.9931381838396192E-4</v>
      </c>
      <c r="W16" s="18">
        <v>5.9579400112852454E-4</v>
      </c>
      <c r="X16" s="18">
        <v>-1.228028093464673E-3</v>
      </c>
      <c r="Y16" s="18">
        <v>1.2066172203049059E-3</v>
      </c>
      <c r="Z16" s="18">
        <v>6.5654638456180692E-4</v>
      </c>
      <c r="AA16" s="18">
        <v>1.491303439252079E-3</v>
      </c>
      <c r="AB16" s="18">
        <v>-1.6927146352827549E-3</v>
      </c>
      <c r="AC16" s="18">
        <v>1.6473403666168449E-3</v>
      </c>
      <c r="AD16" s="18">
        <v>4.5218630111776292E-4</v>
      </c>
      <c r="AE16" s="18">
        <v>1.8472900846973059E-3</v>
      </c>
      <c r="AF16" s="18">
        <v>-2.1670092828571801E-3</v>
      </c>
      <c r="AG16" s="17">
        <v>4</v>
      </c>
      <c r="AH16" s="16">
        <v>3.0000000000000001E-3</v>
      </c>
      <c r="AI16" s="17">
        <v>55</v>
      </c>
    </row>
    <row r="17" spans="1:35" x14ac:dyDescent="0.35">
      <c r="A17" s="27">
        <v>13</v>
      </c>
      <c r="B17" s="18">
        <v>1.017544627189636</v>
      </c>
      <c r="C17" s="18">
        <v>0.62614381313323975</v>
      </c>
      <c r="D17" s="18">
        <v>0.2520003616809845</v>
      </c>
      <c r="E17" s="18">
        <v>0.2246977090835571</v>
      </c>
      <c r="F17" s="18">
        <v>5.5975787108764052E-4</v>
      </c>
      <c r="G17" s="18">
        <v>-6.2070856802165508E-4</v>
      </c>
      <c r="H17" s="18">
        <v>3.8736069109290838E-4</v>
      </c>
      <c r="I17" s="18">
        <v>1.8757327779894691E-5</v>
      </c>
      <c r="J17" s="18">
        <v>-4.6791781642241397E-5</v>
      </c>
      <c r="K17" s="18">
        <v>-3.2680199365131562E-4</v>
      </c>
      <c r="L17" s="18">
        <v>2.5169611035380509E-5</v>
      </c>
      <c r="M17" s="18">
        <v>-8.4984640125185251E-4</v>
      </c>
      <c r="N17" s="18">
        <v>7.2798843029886484E-4</v>
      </c>
      <c r="O17" s="18">
        <v>-1.010511652566493E-3</v>
      </c>
      <c r="P17" s="18">
        <v>-6.0422427486628294E-4</v>
      </c>
      <c r="Q17" s="18">
        <v>1.1197527783224361E-4</v>
      </c>
      <c r="R17" s="18">
        <v>3.7144430098123848E-4</v>
      </c>
      <c r="S17" s="18">
        <v>-1.3661010889336469E-3</v>
      </c>
      <c r="T17" s="18">
        <v>1.533098984509706E-4</v>
      </c>
      <c r="U17" s="18">
        <v>1.2727514840662479E-3</v>
      </c>
      <c r="V17" s="18">
        <v>-4.9319791287416592E-5</v>
      </c>
      <c r="W17" s="18">
        <v>1.34870340116322E-3</v>
      </c>
      <c r="X17" s="18">
        <v>-1.3750494690611961E-3</v>
      </c>
      <c r="Y17" s="18">
        <v>-5.1331677241250873E-4</v>
      </c>
      <c r="Z17" s="18">
        <v>-4.9243033572565757E-5</v>
      </c>
      <c r="AA17" s="18">
        <v>6.3355313614010811E-5</v>
      </c>
      <c r="AB17" s="18">
        <v>1.105856266804039E-3</v>
      </c>
      <c r="AC17" s="18">
        <v>3.547016996890306E-3</v>
      </c>
      <c r="AD17" s="18">
        <v>7.8915571793913841E-4</v>
      </c>
      <c r="AE17" s="18">
        <v>-1.026754383929074E-3</v>
      </c>
      <c r="AF17" s="18">
        <v>-1.822492456994951E-3</v>
      </c>
      <c r="AG17" s="17">
        <v>4</v>
      </c>
      <c r="AH17" s="16">
        <v>3.0000000000000001E-3</v>
      </c>
      <c r="AI17" s="17">
        <v>56</v>
      </c>
    </row>
    <row r="18" spans="1:35" x14ac:dyDescent="0.35">
      <c r="A18" s="27">
        <v>14</v>
      </c>
      <c r="B18" s="18">
        <v>1.067312955856323</v>
      </c>
      <c r="C18" s="18">
        <v>0.68419045209884644</v>
      </c>
      <c r="D18" s="18">
        <v>0.32911717891693121</v>
      </c>
      <c r="E18" s="18">
        <v>0.29571002721786499</v>
      </c>
      <c r="F18" s="18">
        <v>-9.8642217926681042E-4</v>
      </c>
      <c r="G18" s="18">
        <v>-4.0606249240227038E-4</v>
      </c>
      <c r="H18" s="18">
        <v>-5.836457057739608E-5</v>
      </c>
      <c r="I18" s="18">
        <v>-6.0165382456034422E-4</v>
      </c>
      <c r="J18" s="18">
        <v>4.1738512663869187E-5</v>
      </c>
      <c r="K18" s="18">
        <v>-2.8628032305277879E-4</v>
      </c>
      <c r="L18" s="18">
        <v>-4.7785829337954056E-7</v>
      </c>
      <c r="M18" s="18">
        <v>5.9102760860696435E-4</v>
      </c>
      <c r="N18" s="18">
        <v>-8.0106145469471812E-4</v>
      </c>
      <c r="O18" s="18">
        <v>-8.0192886525765061E-4</v>
      </c>
      <c r="P18" s="18">
        <v>-7.1507401298731565E-4</v>
      </c>
      <c r="Q18" s="18">
        <v>1.685510651441291E-4</v>
      </c>
      <c r="R18" s="18">
        <v>-3.6905353772453958E-4</v>
      </c>
      <c r="S18" s="18">
        <v>-1.2182997306808829E-3</v>
      </c>
      <c r="T18" s="18">
        <v>2.9912017635069788E-4</v>
      </c>
      <c r="U18" s="18">
        <v>5.2666699048131704E-4</v>
      </c>
      <c r="V18" s="18">
        <v>9.5874344697222114E-4</v>
      </c>
      <c r="W18" s="18">
        <v>4.5974305248819292E-4</v>
      </c>
      <c r="X18" s="18">
        <v>1.7280462197959421E-3</v>
      </c>
      <c r="Y18" s="18">
        <v>-8.7305199122056365E-4</v>
      </c>
      <c r="Z18" s="18">
        <v>5.5367586901411414E-4</v>
      </c>
      <c r="AA18" s="18">
        <v>-1.2865565076936039E-4</v>
      </c>
      <c r="AB18" s="18">
        <v>1.59470655489713E-3</v>
      </c>
      <c r="AC18" s="18">
        <v>-8.4903498645871878E-4</v>
      </c>
      <c r="AD18" s="18">
        <v>-2.0207564812153582E-3</v>
      </c>
      <c r="AE18" s="18">
        <v>-4.4920959044247871E-4</v>
      </c>
      <c r="AF18" s="18">
        <v>-1.051909173838794E-3</v>
      </c>
      <c r="AG18" s="17">
        <v>4</v>
      </c>
      <c r="AH18" s="16">
        <v>3.0000000000000001E-3</v>
      </c>
      <c r="AI18" s="17">
        <v>57</v>
      </c>
    </row>
    <row r="19" spans="1:35" x14ac:dyDescent="0.35">
      <c r="A19" s="27">
        <v>15</v>
      </c>
      <c r="B19" s="18">
        <v>1.563773989677429</v>
      </c>
      <c r="C19" s="18">
        <v>1.158537626266479</v>
      </c>
      <c r="D19" s="18">
        <v>0.89850717782974243</v>
      </c>
      <c r="E19" s="18">
        <v>0.67507266998291016</v>
      </c>
      <c r="F19" s="18">
        <v>0.55964070558547974</v>
      </c>
      <c r="G19" s="18">
        <v>0.46331265568733221</v>
      </c>
      <c r="H19" s="18">
        <v>0.41424795985221857</v>
      </c>
      <c r="I19" s="18">
        <v>1.7929139721672979E-4</v>
      </c>
      <c r="J19" s="18">
        <v>-3.5533732443582273E-5</v>
      </c>
      <c r="K19" s="18">
        <v>4.0771838393993681E-4</v>
      </c>
      <c r="L19" s="18">
        <v>-1.449725532438606E-4</v>
      </c>
      <c r="M19" s="18">
        <v>-5.7384173851460218E-4</v>
      </c>
      <c r="N19" s="18">
        <v>6.7468281486071646E-5</v>
      </c>
      <c r="O19" s="18">
        <v>-8.4970012539997697E-4</v>
      </c>
      <c r="P19" s="18">
        <v>-3.8271062658168381E-4</v>
      </c>
      <c r="Q19" s="18">
        <v>-7.5611850479617715E-4</v>
      </c>
      <c r="R19" s="18">
        <v>-1.2450973736122251E-3</v>
      </c>
      <c r="S19" s="18">
        <v>1.514344126917422E-3</v>
      </c>
      <c r="T19" s="18">
        <v>-4.6439902507700031E-4</v>
      </c>
      <c r="U19" s="18">
        <v>-1.0177734075114131E-3</v>
      </c>
      <c r="V19" s="18">
        <v>-3.4050728572765372E-5</v>
      </c>
      <c r="W19" s="18">
        <v>-1.338884467259049E-3</v>
      </c>
      <c r="X19" s="18">
        <v>1.261386321857572E-3</v>
      </c>
      <c r="Y19" s="18">
        <v>-1.350990612991154E-3</v>
      </c>
      <c r="Z19" s="18">
        <v>-7.0938980206847191E-4</v>
      </c>
      <c r="AA19" s="18">
        <v>-9.6573104383423924E-4</v>
      </c>
      <c r="AB19" s="18">
        <v>-1.7828638665378089E-3</v>
      </c>
      <c r="AC19" s="18">
        <v>2.3609900381416078E-3</v>
      </c>
      <c r="AD19" s="18">
        <v>2.8755748644471169E-3</v>
      </c>
      <c r="AE19" s="18">
        <v>9.2013226822018623E-4</v>
      </c>
      <c r="AF19" s="18">
        <v>1.748973503708839E-3</v>
      </c>
      <c r="AG19" s="17">
        <v>7</v>
      </c>
      <c r="AH19" s="16">
        <v>6.0000000000000001E-3</v>
      </c>
      <c r="AI19" s="17">
        <v>29</v>
      </c>
    </row>
    <row r="20" spans="1:35" x14ac:dyDescent="0.35">
      <c r="A20" s="27">
        <v>16</v>
      </c>
      <c r="B20" s="18">
        <v>1.085008025169373</v>
      </c>
      <c r="C20" s="18">
        <v>0.71133214235305786</v>
      </c>
      <c r="D20" s="18">
        <v>0.36894312500953669</v>
      </c>
      <c r="E20" s="18">
        <v>0.27653199434280401</v>
      </c>
      <c r="F20" s="18">
        <v>-2.105257008224726E-4</v>
      </c>
      <c r="G20" s="18">
        <v>7.1592314634472132E-4</v>
      </c>
      <c r="H20" s="18">
        <v>-2.3267691722139719E-4</v>
      </c>
      <c r="I20" s="18">
        <v>-1.2097263970645141E-4</v>
      </c>
      <c r="J20" s="18">
        <v>3.0300996513688009E-5</v>
      </c>
      <c r="K20" s="18">
        <v>-5.308142863214016E-5</v>
      </c>
      <c r="L20" s="18">
        <v>2.101262361975387E-4</v>
      </c>
      <c r="M20" s="18">
        <v>1.4649287913925951E-4</v>
      </c>
      <c r="N20" s="18">
        <v>-8.0880639143288136E-4</v>
      </c>
      <c r="O20" s="18">
        <v>1.2771106557920579E-3</v>
      </c>
      <c r="P20" s="18">
        <v>6.832047802163288E-5</v>
      </c>
      <c r="Q20" s="18">
        <v>5.0292175728827708E-5</v>
      </c>
      <c r="R20" s="18">
        <v>-1.479005186411086E-5</v>
      </c>
      <c r="S20" s="18">
        <v>-1.341836410574615E-3</v>
      </c>
      <c r="T20" s="18">
        <v>5.6422152556478977E-4</v>
      </c>
      <c r="U20" s="18">
        <v>1.2332075275480749E-3</v>
      </c>
      <c r="V20" s="18">
        <v>1.7736261943355201E-3</v>
      </c>
      <c r="W20" s="18">
        <v>-4.9335270887240767E-4</v>
      </c>
      <c r="X20" s="18">
        <v>-1.098929322324693E-3</v>
      </c>
      <c r="Y20" s="18">
        <v>-9.2993181897327304E-4</v>
      </c>
      <c r="Z20" s="18">
        <v>-5.9331732336431742E-4</v>
      </c>
      <c r="AA20" s="18">
        <v>-3.6831616307608778E-4</v>
      </c>
      <c r="AB20" s="18">
        <v>-1.4806020772084589E-3</v>
      </c>
      <c r="AC20" s="18">
        <v>3.4795154351741081E-4</v>
      </c>
      <c r="AD20" s="18">
        <v>1.097326865419745E-3</v>
      </c>
      <c r="AE20" s="18">
        <v>-1.032122410833836E-3</v>
      </c>
      <c r="AF20" s="18">
        <v>-1.2589317047968509E-3</v>
      </c>
      <c r="AG20" s="17">
        <v>4</v>
      </c>
      <c r="AH20" s="16">
        <v>3.0000000000000001E-3</v>
      </c>
      <c r="AI20" s="17">
        <v>58</v>
      </c>
    </row>
    <row r="21" spans="1:35" x14ac:dyDescent="0.35">
      <c r="A21" s="27">
        <v>17</v>
      </c>
      <c r="B21" s="18">
        <v>1.032501697540283</v>
      </c>
      <c r="C21" s="18">
        <v>0.65466737747192383</v>
      </c>
      <c r="D21" s="18">
        <v>0.29956203699111938</v>
      </c>
      <c r="E21" s="18">
        <v>0.25138512253761292</v>
      </c>
      <c r="F21" s="18">
        <v>1.0638334060786291E-4</v>
      </c>
      <c r="G21" s="18">
        <v>2.3119908291846511E-4</v>
      </c>
      <c r="H21" s="18">
        <v>3.8810467231087393E-5</v>
      </c>
      <c r="I21" s="18">
        <v>4.6003054012544448E-4</v>
      </c>
      <c r="J21" s="18">
        <v>-3.0208445969037712E-4</v>
      </c>
      <c r="K21" s="18">
        <v>-5.0831824773922563E-4</v>
      </c>
      <c r="L21" s="18">
        <v>3.1727779423817992E-4</v>
      </c>
      <c r="M21" s="18">
        <v>4.7723984607728198E-5</v>
      </c>
      <c r="N21" s="18">
        <v>2.4962736642919481E-4</v>
      </c>
      <c r="O21" s="18">
        <v>3.9692228892818088E-4</v>
      </c>
      <c r="P21" s="18">
        <v>2.0151936041656879E-4</v>
      </c>
      <c r="Q21" s="18">
        <v>9.2474452685564756E-4</v>
      </c>
      <c r="R21" s="18">
        <v>-1.407647388987243E-3</v>
      </c>
      <c r="S21" s="18">
        <v>4.4032951700501139E-4</v>
      </c>
      <c r="T21" s="18">
        <v>-1.8910524668172E-3</v>
      </c>
      <c r="U21" s="18">
        <v>-1.1850893497467041E-3</v>
      </c>
      <c r="V21" s="18">
        <v>-1.2292634928599E-3</v>
      </c>
      <c r="W21" s="18">
        <v>-1.4008647995069621E-3</v>
      </c>
      <c r="X21" s="18">
        <v>-3.3357407664880162E-4</v>
      </c>
      <c r="Y21" s="18">
        <v>1.1075859656557441E-3</v>
      </c>
      <c r="Z21" s="18">
        <v>1.0323241585865619E-3</v>
      </c>
      <c r="AA21" s="18">
        <v>2.2016043658368289E-5</v>
      </c>
      <c r="AB21" s="18">
        <v>1.6088752308860419E-3</v>
      </c>
      <c r="AC21" s="18">
        <v>-2.4588354863226409E-3</v>
      </c>
      <c r="AD21" s="18">
        <v>1.0664213914424181E-3</v>
      </c>
      <c r="AE21" s="18">
        <v>-1.0880422778427601E-3</v>
      </c>
      <c r="AF21" s="18">
        <v>3.7619713693857189E-3</v>
      </c>
      <c r="AG21" s="17">
        <v>4</v>
      </c>
      <c r="AH21" s="16">
        <v>3.0000000000000001E-3</v>
      </c>
      <c r="AI21" s="17">
        <v>59</v>
      </c>
    </row>
    <row r="22" spans="1:35" x14ac:dyDescent="0.35">
      <c r="A22" s="27">
        <v>18</v>
      </c>
      <c r="B22" s="18">
        <v>1.1060194969177251</v>
      </c>
      <c r="C22" s="18">
        <v>0.71385598182678223</v>
      </c>
      <c r="D22" s="18">
        <v>0.37476512789726257</v>
      </c>
      <c r="E22" s="18">
        <v>0.29701375961303711</v>
      </c>
      <c r="F22" s="18">
        <v>1.282310672104359E-2</v>
      </c>
      <c r="G22" s="18">
        <v>-5.6931952713057399E-5</v>
      </c>
      <c r="H22" s="18">
        <v>5.9041401982540258E-5</v>
      </c>
      <c r="I22" s="18">
        <v>4.8257163143716753E-5</v>
      </c>
      <c r="J22" s="18">
        <v>-2.0328770915511999E-5</v>
      </c>
      <c r="K22" s="18">
        <v>4.669072586693801E-5</v>
      </c>
      <c r="L22" s="18">
        <v>-9.425332973478362E-5</v>
      </c>
      <c r="M22" s="18">
        <v>2.9040235676802689E-4</v>
      </c>
      <c r="N22" s="18">
        <v>2.781582297757268E-4</v>
      </c>
      <c r="O22" s="18">
        <v>-5.9484736993908882E-4</v>
      </c>
      <c r="P22" s="18">
        <v>-9.7366649424657226E-4</v>
      </c>
      <c r="Q22" s="18">
        <v>-9.6943211974576116E-4</v>
      </c>
      <c r="R22" s="18">
        <v>-2.2243012208491559E-3</v>
      </c>
      <c r="S22" s="18">
        <v>-9.0945209376513958E-4</v>
      </c>
      <c r="T22" s="18">
        <v>-2.8338230913504958E-4</v>
      </c>
      <c r="U22" s="18">
        <v>-3.1468956876778982E-5</v>
      </c>
      <c r="V22" s="18">
        <v>2.2373021056409931E-4</v>
      </c>
      <c r="W22" s="18">
        <v>4.1818642057478428E-4</v>
      </c>
      <c r="X22" s="18">
        <v>-8.2155066775158048E-4</v>
      </c>
      <c r="Y22" s="18">
        <v>1.4331704005599019E-4</v>
      </c>
      <c r="Z22" s="18">
        <v>-1.2309727026149631E-3</v>
      </c>
      <c r="AA22" s="18">
        <v>-1.805484178476036E-3</v>
      </c>
      <c r="AB22" s="18">
        <v>-6.2410347163677216E-4</v>
      </c>
      <c r="AC22" s="18">
        <v>3.3180569298565392E-3</v>
      </c>
      <c r="AD22" s="18">
        <v>1.1208110954612489E-3</v>
      </c>
      <c r="AE22" s="18">
        <v>3.125030547380447E-3</v>
      </c>
      <c r="AF22" s="18">
        <v>2.860909560695291E-3</v>
      </c>
      <c r="AG22" s="17">
        <v>5</v>
      </c>
      <c r="AH22" s="16">
        <v>4.0000000000000001E-3</v>
      </c>
      <c r="AI22" s="17">
        <v>44</v>
      </c>
    </row>
    <row r="23" spans="1:35" x14ac:dyDescent="0.35">
      <c r="A23" s="27">
        <v>19</v>
      </c>
      <c r="B23" s="18">
        <v>1.277610659599304</v>
      </c>
      <c r="C23" s="18">
        <v>0.90175962448120117</v>
      </c>
      <c r="D23" s="18">
        <v>0.59733468294143677</v>
      </c>
      <c r="E23" s="18">
        <v>0.51792669296264648</v>
      </c>
      <c r="F23" s="18">
        <v>0.18415999412536621</v>
      </c>
      <c r="G23" s="18">
        <v>1.4734582975506781E-2</v>
      </c>
      <c r="H23" s="18">
        <v>4.545424017123878E-4</v>
      </c>
      <c r="I23" s="18">
        <v>1.157712613348849E-4</v>
      </c>
      <c r="J23" s="18">
        <v>1.3536401093006131E-4</v>
      </c>
      <c r="K23" s="18">
        <v>2.6891406741924578E-4</v>
      </c>
      <c r="L23" s="18">
        <v>3.3217223244719213E-4</v>
      </c>
      <c r="M23" s="18">
        <v>2.2868310043122619E-4</v>
      </c>
      <c r="N23" s="18">
        <v>6.040339358150959E-4</v>
      </c>
      <c r="O23" s="18">
        <v>1.9795661792159081E-3</v>
      </c>
      <c r="P23" s="18">
        <v>1.5561666805297139E-4</v>
      </c>
      <c r="Q23" s="18">
        <v>5.9541343944147229E-4</v>
      </c>
      <c r="R23" s="18">
        <v>2.9103134875185788E-4</v>
      </c>
      <c r="S23" s="18">
        <v>-8.5847103036940098E-5</v>
      </c>
      <c r="T23" s="18">
        <v>-1.500003563705832E-4</v>
      </c>
      <c r="U23" s="18">
        <v>-4.6190467401174828E-5</v>
      </c>
      <c r="V23" s="18">
        <v>-1.011486398056149E-3</v>
      </c>
      <c r="W23" s="18">
        <v>1.5843592118471861E-3</v>
      </c>
      <c r="X23" s="18">
        <v>3.9895321242511272E-4</v>
      </c>
      <c r="Y23" s="18">
        <v>1.5332612383645031E-4</v>
      </c>
      <c r="Z23" s="18">
        <v>-1.160969957709312E-3</v>
      </c>
      <c r="AA23" s="18">
        <v>4.0016751154325902E-4</v>
      </c>
      <c r="AB23" s="18">
        <v>-2.1584691421594471E-4</v>
      </c>
      <c r="AC23" s="18">
        <v>-2.0244263578206301E-3</v>
      </c>
      <c r="AD23" s="18">
        <v>2.0668637007474899E-3</v>
      </c>
      <c r="AE23" s="18">
        <v>-1.0685687448130921E-4</v>
      </c>
      <c r="AF23" s="18">
        <v>-2.1436729002743959E-3</v>
      </c>
      <c r="AG23" s="17">
        <v>6</v>
      </c>
      <c r="AH23" s="16">
        <v>5.0000000000000001E-3</v>
      </c>
      <c r="AI23" s="17">
        <v>33</v>
      </c>
    </row>
    <row r="24" spans="1:35" x14ac:dyDescent="0.35">
      <c r="A24" s="27">
        <v>20</v>
      </c>
      <c r="B24" s="18">
        <v>1.037243604660034</v>
      </c>
      <c r="C24" s="18">
        <v>0.6504511833190918</v>
      </c>
      <c r="D24" s="18">
        <v>0.27911242842674261</v>
      </c>
      <c r="E24" s="18">
        <v>0.2492186427116394</v>
      </c>
      <c r="F24" s="18">
        <v>1.060193637385964E-3</v>
      </c>
      <c r="G24" s="18">
        <v>9.8801523563452065E-5</v>
      </c>
      <c r="H24" s="18">
        <v>1.3113417662680149E-4</v>
      </c>
      <c r="I24" s="18">
        <v>-4.0396477561444039E-4</v>
      </c>
      <c r="J24" s="18">
        <v>-5.6188524467870593E-5</v>
      </c>
      <c r="K24" s="18">
        <v>3.7411184166558092E-4</v>
      </c>
      <c r="L24" s="18">
        <v>3.5365988151170308E-4</v>
      </c>
      <c r="M24" s="18">
        <v>-9.6366828074678779E-4</v>
      </c>
      <c r="N24" s="18">
        <v>-1.025103483698331E-4</v>
      </c>
      <c r="O24" s="18">
        <v>2.8480880428105587E-4</v>
      </c>
      <c r="P24" s="18">
        <v>-5.2726373542100191E-4</v>
      </c>
      <c r="Q24" s="18">
        <v>-7.7916478039696813E-4</v>
      </c>
      <c r="R24" s="18">
        <v>4.795417189598083E-4</v>
      </c>
      <c r="S24" s="18">
        <v>2.8209711308591068E-4</v>
      </c>
      <c r="T24" s="18">
        <v>4.1506165871396661E-4</v>
      </c>
      <c r="U24" s="18">
        <v>-4.5669203973375261E-4</v>
      </c>
      <c r="V24" s="18">
        <v>-2.04620067961514E-4</v>
      </c>
      <c r="W24" s="18">
        <v>-6.19252969045192E-4</v>
      </c>
      <c r="X24" s="18">
        <v>-9.7134592942893505E-4</v>
      </c>
      <c r="Y24" s="18">
        <v>4.0687157888896758E-4</v>
      </c>
      <c r="Z24" s="18">
        <v>-7.5815990567207336E-4</v>
      </c>
      <c r="AA24" s="18">
        <v>5.0722377636702731E-5</v>
      </c>
      <c r="AB24" s="18">
        <v>-1.204794272780418E-3</v>
      </c>
      <c r="AC24" s="18">
        <v>-1.2810601620003581E-3</v>
      </c>
      <c r="AD24" s="18">
        <v>7.3896662797778845E-5</v>
      </c>
      <c r="AE24" s="18">
        <v>-1.151926117017865E-3</v>
      </c>
      <c r="AF24" s="18">
        <v>3.0186650110408658E-4</v>
      </c>
      <c r="AG24" s="17">
        <v>4</v>
      </c>
      <c r="AH24" s="16">
        <v>3.0000000000000001E-3</v>
      </c>
      <c r="AI24" s="17">
        <v>60</v>
      </c>
    </row>
    <row r="25" spans="1:35" x14ac:dyDescent="0.35">
      <c r="A25" s="27">
        <v>21</v>
      </c>
      <c r="B25" s="18">
        <v>1.126543402671814</v>
      </c>
      <c r="C25" s="18">
        <v>0.75445282459259033</v>
      </c>
      <c r="D25" s="18">
        <v>0.42778646945953369</v>
      </c>
      <c r="E25" s="18">
        <v>0.38501337170600891</v>
      </c>
      <c r="F25" s="18">
        <v>1.731589203700423E-3</v>
      </c>
      <c r="G25" s="18">
        <v>4.2745770770125091E-4</v>
      </c>
      <c r="H25" s="18">
        <v>-5.6990957818925381E-4</v>
      </c>
      <c r="I25" s="18">
        <v>5.0309085054323077E-4</v>
      </c>
      <c r="J25" s="18">
        <v>-2.4885730817914009E-4</v>
      </c>
      <c r="K25" s="18">
        <v>3.3006540616042912E-4</v>
      </c>
      <c r="L25" s="18">
        <v>6.9412744778674096E-5</v>
      </c>
      <c r="M25" s="18">
        <v>9.7589574579615146E-5</v>
      </c>
      <c r="N25" s="18">
        <v>1.1188053758814931E-3</v>
      </c>
      <c r="O25" s="18">
        <v>-9.0538611402735114E-4</v>
      </c>
      <c r="P25" s="18">
        <v>1.0286107135470961E-4</v>
      </c>
      <c r="Q25" s="18">
        <v>3.5525488783605402E-4</v>
      </c>
      <c r="R25" s="18">
        <v>1.432455843314528E-3</v>
      </c>
      <c r="S25" s="18">
        <v>1.0227671591565011E-3</v>
      </c>
      <c r="T25" s="18">
        <v>3.3232264686375861E-3</v>
      </c>
      <c r="U25" s="18">
        <v>1.885818055598065E-4</v>
      </c>
      <c r="V25" s="18">
        <v>-9.3529559671878815E-4</v>
      </c>
      <c r="W25" s="18">
        <v>-1.1841920204460621E-3</v>
      </c>
      <c r="X25" s="18">
        <v>2.385192638030276E-4</v>
      </c>
      <c r="Y25" s="18">
        <v>-1.973300706595182E-3</v>
      </c>
      <c r="Z25" s="18">
        <v>9.671843727119267E-4</v>
      </c>
      <c r="AA25" s="18">
        <v>-6.7580956965684891E-4</v>
      </c>
      <c r="AB25" s="18">
        <v>-3.9233590359799558E-4</v>
      </c>
      <c r="AC25" s="18">
        <v>8.907681331038475E-4</v>
      </c>
      <c r="AD25" s="18">
        <v>-2.7201960328966379E-3</v>
      </c>
      <c r="AE25" s="18">
        <v>2.408290514722466E-3</v>
      </c>
      <c r="AF25" s="18">
        <v>-1.127641880884767E-3</v>
      </c>
      <c r="AG25" s="17">
        <v>4</v>
      </c>
      <c r="AH25" s="16">
        <v>3.0000000000000001E-3</v>
      </c>
      <c r="AI25" s="17">
        <v>61</v>
      </c>
    </row>
    <row r="26" spans="1:35" x14ac:dyDescent="0.35">
      <c r="A26" s="27">
        <v>22</v>
      </c>
      <c r="B26" s="18">
        <v>1.1835131645202639</v>
      </c>
      <c r="C26" s="18">
        <v>0.77497673034667969</v>
      </c>
      <c r="D26" s="18">
        <v>0.43095302581787109</v>
      </c>
      <c r="E26" s="18">
        <v>0.34160390496253967</v>
      </c>
      <c r="F26" s="18">
        <v>3.2596717937849462E-4</v>
      </c>
      <c r="G26" s="18">
        <v>1.0429559042677279E-3</v>
      </c>
      <c r="H26" s="18">
        <v>2.7944755856879061E-4</v>
      </c>
      <c r="I26" s="18">
        <v>2.96808808343485E-4</v>
      </c>
      <c r="J26" s="18">
        <v>2.2380567679647359E-4</v>
      </c>
      <c r="K26" s="18">
        <v>4.9961672630161047E-5</v>
      </c>
      <c r="L26" s="18">
        <v>-1.2972338299732661E-4</v>
      </c>
      <c r="M26" s="18">
        <v>4.0213065221905708E-4</v>
      </c>
      <c r="N26" s="18">
        <v>1.523700659163296E-3</v>
      </c>
      <c r="O26" s="18">
        <v>6.7127250076737255E-5</v>
      </c>
      <c r="P26" s="18">
        <v>1.0516367910895501E-4</v>
      </c>
      <c r="Q26" s="18">
        <v>2.141466538887471E-4</v>
      </c>
      <c r="R26" s="18">
        <v>5.9577467618510127E-4</v>
      </c>
      <c r="S26" s="18">
        <v>-6.6614936804398894E-4</v>
      </c>
      <c r="T26" s="18">
        <v>-1.9846990471705789E-4</v>
      </c>
      <c r="U26" s="18">
        <v>6.8851091782562435E-5</v>
      </c>
      <c r="V26" s="18">
        <v>4.5004993444308639E-4</v>
      </c>
      <c r="W26" s="18">
        <v>1.346795004792511E-3</v>
      </c>
      <c r="X26" s="18">
        <v>-8.9210132136940956E-4</v>
      </c>
      <c r="Y26" s="18">
        <v>-4.9794942606240511E-4</v>
      </c>
      <c r="Z26" s="18">
        <v>-1.3579445658251641E-3</v>
      </c>
      <c r="AA26" s="18">
        <v>-1.4536420349031689E-3</v>
      </c>
      <c r="AB26" s="18">
        <v>-2.0708944648504262E-3</v>
      </c>
      <c r="AC26" s="18">
        <v>4.2871266487054532E-4</v>
      </c>
      <c r="AD26" s="18">
        <v>-9.5769169274717569E-4</v>
      </c>
      <c r="AE26" s="18">
        <v>1.753166550770402E-3</v>
      </c>
      <c r="AF26" s="18">
        <v>-7.2953378548845649E-4</v>
      </c>
      <c r="AG26" s="17">
        <v>4</v>
      </c>
      <c r="AH26" s="16">
        <v>3.0000000000000001E-3</v>
      </c>
      <c r="AI26" s="17">
        <v>62</v>
      </c>
    </row>
    <row r="27" spans="1:35" x14ac:dyDescent="0.35">
      <c r="A27" s="27">
        <v>23</v>
      </c>
      <c r="B27" s="18">
        <v>1.0690042972564699</v>
      </c>
      <c r="C27" s="18">
        <v>0.68009567260742188</v>
      </c>
      <c r="D27" s="18">
        <v>0.31661370396614069</v>
      </c>
      <c r="E27" s="18">
        <v>0.28893241286277771</v>
      </c>
      <c r="F27" s="18">
        <v>-3.7484773201867938E-5</v>
      </c>
      <c r="G27" s="18">
        <v>-1.4891686441842469E-4</v>
      </c>
      <c r="H27" s="18">
        <v>3.6578535218723118E-4</v>
      </c>
      <c r="I27" s="18">
        <v>1.031220963341184E-4</v>
      </c>
      <c r="J27" s="18">
        <v>-1.452371652703732E-4</v>
      </c>
      <c r="K27" s="18">
        <v>8.134818053804338E-4</v>
      </c>
      <c r="L27" s="18">
        <v>-4.3615222239168361E-5</v>
      </c>
      <c r="M27" s="18">
        <v>-9.5204665558412671E-4</v>
      </c>
      <c r="N27" s="18">
        <v>1.8790703325066721E-4</v>
      </c>
      <c r="O27" s="18">
        <v>8.3033356349915266E-4</v>
      </c>
      <c r="P27" s="18">
        <v>-7.2251318488270044E-4</v>
      </c>
      <c r="Q27" s="18">
        <v>-1.0312731610611079E-3</v>
      </c>
      <c r="R27" s="18">
        <v>-2.324445376871154E-4</v>
      </c>
      <c r="S27" s="18">
        <v>7.5722328620031476E-4</v>
      </c>
      <c r="T27" s="18">
        <v>3.053307300433517E-4</v>
      </c>
      <c r="U27" s="18">
        <v>-1.311457133851945E-3</v>
      </c>
      <c r="V27" s="18">
        <v>-4.8037435044534499E-4</v>
      </c>
      <c r="W27" s="18">
        <v>-1.0234864021185791E-5</v>
      </c>
      <c r="X27" s="18">
        <v>-1.260131131857634E-3</v>
      </c>
      <c r="Y27" s="18">
        <v>1.720405300147831E-3</v>
      </c>
      <c r="Z27" s="18">
        <v>-4.3364483281038702E-4</v>
      </c>
      <c r="AA27" s="18">
        <v>3.5696339909918612E-4</v>
      </c>
      <c r="AB27" s="18">
        <v>1.0712172370404009E-3</v>
      </c>
      <c r="AC27" s="18">
        <v>1.2739929370582099E-3</v>
      </c>
      <c r="AD27" s="18">
        <v>2.5659131351858382E-3</v>
      </c>
      <c r="AE27" s="18">
        <v>1.453525619581342E-4</v>
      </c>
      <c r="AF27" s="18">
        <v>6.9857283961027861E-4</v>
      </c>
      <c r="AG27" s="17">
        <v>4</v>
      </c>
      <c r="AH27" s="16">
        <v>3.0000000000000001E-3</v>
      </c>
      <c r="AI27" s="17">
        <v>63</v>
      </c>
    </row>
    <row r="28" spans="1:35" x14ac:dyDescent="0.35">
      <c r="A28" s="27">
        <v>24</v>
      </c>
      <c r="B28" s="18">
        <v>1.2826975584030149</v>
      </c>
      <c r="C28" s="18">
        <v>0.93751430511474609</v>
      </c>
      <c r="D28" s="18">
        <v>0.66860097646713257</v>
      </c>
      <c r="E28" s="18">
        <v>0.63473302125930786</v>
      </c>
      <c r="F28" s="18">
        <v>0.37187719345092768</v>
      </c>
      <c r="G28" s="18">
        <v>0.31708633899688721</v>
      </c>
      <c r="H28" s="18">
        <v>0.22771541774272919</v>
      </c>
      <c r="I28" s="18">
        <v>0.24449461698532099</v>
      </c>
      <c r="J28" s="18">
        <v>0.180084303021431</v>
      </c>
      <c r="K28" s="18">
        <v>0.18527860939502719</v>
      </c>
      <c r="L28" s="18">
        <v>0.15101109445095059</v>
      </c>
      <c r="M28" s="18">
        <v>0.18563888967037201</v>
      </c>
      <c r="N28" s="18">
        <v>0.18893775343894961</v>
      </c>
      <c r="O28" s="18">
        <v>-4.5274352305568749E-4</v>
      </c>
      <c r="P28" s="18">
        <v>8.7949109729379416E-4</v>
      </c>
      <c r="Q28" s="18">
        <v>1.9704326405189929E-4</v>
      </c>
      <c r="R28" s="18">
        <v>1.5193379949778321E-3</v>
      </c>
      <c r="S28" s="18">
        <v>-7.0428662002086639E-4</v>
      </c>
      <c r="T28" s="18">
        <v>-2.7732114540413022E-4</v>
      </c>
      <c r="U28" s="18">
        <v>8.8273297296836972E-4</v>
      </c>
      <c r="V28" s="18">
        <v>-3.415902319829911E-4</v>
      </c>
      <c r="W28" s="18">
        <v>-1.2934360420331361E-3</v>
      </c>
      <c r="X28" s="18">
        <v>-1.4776850584894421E-3</v>
      </c>
      <c r="Y28" s="18">
        <v>-1.692268415354192E-3</v>
      </c>
      <c r="Z28" s="18">
        <v>1.0136424098163841E-3</v>
      </c>
      <c r="AA28" s="18">
        <v>1.0233336361125109E-3</v>
      </c>
      <c r="AB28" s="18">
        <v>-1.378434593789279E-3</v>
      </c>
      <c r="AC28" s="18">
        <v>-3.8843991933390498E-4</v>
      </c>
      <c r="AD28" s="18">
        <v>-3.4776088432408869E-4</v>
      </c>
      <c r="AE28" s="18">
        <v>-2.0778337493538861E-3</v>
      </c>
      <c r="AF28" s="18">
        <v>-1.4976247912272811E-3</v>
      </c>
      <c r="AG28" s="17">
        <v>13</v>
      </c>
      <c r="AH28" s="16">
        <v>1.2E-2</v>
      </c>
      <c r="AI28" s="17">
        <v>17</v>
      </c>
    </row>
    <row r="29" spans="1:35" x14ac:dyDescent="0.35">
      <c r="A29" s="27">
        <v>25</v>
      </c>
      <c r="B29" s="18">
        <v>1.1857341527938841</v>
      </c>
      <c r="C29" s="18">
        <v>0.84437340497970581</v>
      </c>
      <c r="D29" s="18">
        <v>0.5784069299697876</v>
      </c>
      <c r="E29" s="18">
        <v>0.57364827394485474</v>
      </c>
      <c r="F29" s="18">
        <v>0.34126442670822138</v>
      </c>
      <c r="G29" s="18">
        <v>0.2633993923664093</v>
      </c>
      <c r="H29" s="18">
        <v>0.20988444983959201</v>
      </c>
      <c r="I29" s="18">
        <v>0.20088896155357361</v>
      </c>
      <c r="J29" s="18">
        <v>0.1647108048200607</v>
      </c>
      <c r="K29" s="18">
        <v>0.1669395565986633</v>
      </c>
      <c r="L29" s="18">
        <v>0.1349551975727081</v>
      </c>
      <c r="M29" s="18">
        <v>0.14358298480510709</v>
      </c>
      <c r="N29" s="18">
        <v>0.16708974540233609</v>
      </c>
      <c r="O29" s="18">
        <v>4.4820182956755161E-3</v>
      </c>
      <c r="P29" s="18">
        <v>8.3758303662762046E-4</v>
      </c>
      <c r="Q29" s="18">
        <v>-5.8376777451485395E-4</v>
      </c>
      <c r="R29" s="18">
        <v>6.0795521130785346E-4</v>
      </c>
      <c r="S29" s="18">
        <v>2.250630641356111E-3</v>
      </c>
      <c r="T29" s="18">
        <v>-2.3792155552655458E-3</v>
      </c>
      <c r="U29" s="18">
        <v>1.5513479011133311E-3</v>
      </c>
      <c r="V29" s="18">
        <v>5.9414288261905313E-4</v>
      </c>
      <c r="W29" s="18">
        <v>8.5373052570503205E-5</v>
      </c>
      <c r="X29" s="18">
        <v>2.9996389639563859E-4</v>
      </c>
      <c r="Y29" s="18">
        <v>-2.2352061932906511E-4</v>
      </c>
      <c r="Z29" s="18">
        <v>1.0090263094753029E-3</v>
      </c>
      <c r="AA29" s="18">
        <v>1.337273162789643E-3</v>
      </c>
      <c r="AB29" s="18">
        <v>-2.028660848736763E-3</v>
      </c>
      <c r="AC29" s="18">
        <v>-1.794989220798016E-3</v>
      </c>
      <c r="AD29" s="18">
        <v>2.5797227863222361E-3</v>
      </c>
      <c r="AE29" s="18">
        <v>1.8664298113435509E-3</v>
      </c>
      <c r="AF29" s="18">
        <v>-5.159190041013062E-4</v>
      </c>
      <c r="AG29" s="17">
        <v>13</v>
      </c>
      <c r="AH29" s="16">
        <v>1.2E-2</v>
      </c>
      <c r="AI29" s="17">
        <v>18</v>
      </c>
    </row>
    <row r="30" spans="1:35" x14ac:dyDescent="0.35">
      <c r="A30" s="27">
        <v>26</v>
      </c>
      <c r="B30" s="18">
        <v>1.1793215274810791</v>
      </c>
      <c r="C30" s="18">
        <v>0.8032640814781189</v>
      </c>
      <c r="D30" s="18">
        <v>0.48685330152511602</v>
      </c>
      <c r="E30" s="18">
        <v>0.39653155207633972</v>
      </c>
      <c r="F30" s="18">
        <v>3.525174633978168E-6</v>
      </c>
      <c r="G30" s="18">
        <v>2.5490227926638909E-5</v>
      </c>
      <c r="H30" s="18">
        <v>3.1502993078902358E-4</v>
      </c>
      <c r="I30" s="18">
        <v>6.1085284687578678E-4</v>
      </c>
      <c r="J30" s="18">
        <v>-1.5735934721305969E-4</v>
      </c>
      <c r="K30" s="18">
        <v>-3.7836559931747621E-4</v>
      </c>
      <c r="L30" s="18">
        <v>-1.2287808931432659E-4</v>
      </c>
      <c r="M30" s="18">
        <v>2.7210463304072618E-4</v>
      </c>
      <c r="N30" s="18">
        <v>-8.208203362300992E-4</v>
      </c>
      <c r="O30" s="18">
        <v>1.4946275041438639E-4</v>
      </c>
      <c r="P30" s="18">
        <v>-6.797672831453383E-4</v>
      </c>
      <c r="Q30" s="18">
        <v>6.7194085568189621E-4</v>
      </c>
      <c r="R30" s="18">
        <v>-6.6803721711039543E-4</v>
      </c>
      <c r="S30" s="18">
        <v>1.2109365779906509E-3</v>
      </c>
      <c r="T30" s="18">
        <v>-1.4653421239927411E-3</v>
      </c>
      <c r="U30" s="18">
        <v>1.0703467705752701E-4</v>
      </c>
      <c r="V30" s="18">
        <v>-1.666383323026821E-4</v>
      </c>
      <c r="W30" s="18">
        <v>4.547943826764822E-4</v>
      </c>
      <c r="X30" s="18">
        <v>-1.7376056639477611E-3</v>
      </c>
      <c r="Y30" s="18">
        <v>1.474861637689173E-4</v>
      </c>
      <c r="Z30" s="18">
        <v>-1.2842349242419E-3</v>
      </c>
      <c r="AA30" s="18">
        <v>-1.522228471003473E-3</v>
      </c>
      <c r="AB30" s="18">
        <v>4.805896314792335E-4</v>
      </c>
      <c r="AC30" s="18">
        <v>-1.7105998704209919E-3</v>
      </c>
      <c r="AD30" s="18">
        <v>2.2977471817284818E-3</v>
      </c>
      <c r="AE30" s="18">
        <v>-5.2665424300357699E-4</v>
      </c>
      <c r="AF30" s="18">
        <v>2.225215313956141E-3</v>
      </c>
      <c r="AG30" s="17">
        <v>4</v>
      </c>
      <c r="AH30" s="16">
        <v>3.0000000000000001E-3</v>
      </c>
      <c r="AI30" s="17">
        <v>64</v>
      </c>
    </row>
    <row r="31" spans="1:35" x14ac:dyDescent="0.35">
      <c r="A31" s="27">
        <v>27</v>
      </c>
      <c r="B31" s="18">
        <v>1.1409866809844971</v>
      </c>
      <c r="C31" s="18">
        <v>0.74736380577087402</v>
      </c>
      <c r="D31" s="18">
        <v>0.40788143873214722</v>
      </c>
      <c r="E31" s="18">
        <v>0.32382774353027338</v>
      </c>
      <c r="F31" s="18">
        <v>-3.9139622822403908E-4</v>
      </c>
      <c r="G31" s="18">
        <v>-8.0591905862092972E-4</v>
      </c>
      <c r="H31" s="18">
        <v>3.7625638651661569E-4</v>
      </c>
      <c r="I31" s="18">
        <v>-3.7654244806617498E-5</v>
      </c>
      <c r="J31" s="18">
        <v>-1.2901170703116799E-4</v>
      </c>
      <c r="K31" s="18">
        <v>-3.1896820291876787E-4</v>
      </c>
      <c r="L31" s="18">
        <v>1.1631505185505379E-4</v>
      </c>
      <c r="M31" s="18">
        <v>8.4226328181102872E-4</v>
      </c>
      <c r="N31" s="18">
        <v>-5.3612340707331896E-4</v>
      </c>
      <c r="O31" s="18">
        <v>-8.1415189197286963E-4</v>
      </c>
      <c r="P31" s="18">
        <v>-1.5691730368416759E-4</v>
      </c>
      <c r="Q31" s="18">
        <v>-9.4224239001050591E-4</v>
      </c>
      <c r="R31" s="18">
        <v>2.9939544037915772E-4</v>
      </c>
      <c r="S31" s="18">
        <v>-5.6951514125103131E-5</v>
      </c>
      <c r="T31" s="18">
        <v>9.7626395290717483E-4</v>
      </c>
      <c r="U31" s="18">
        <v>-1.9265437731519339E-4</v>
      </c>
      <c r="V31" s="18">
        <v>-9.6276093972846866E-4</v>
      </c>
      <c r="W31" s="18">
        <v>-5.9839116875082254E-4</v>
      </c>
      <c r="X31" s="18">
        <v>1.6980930231511591E-3</v>
      </c>
      <c r="Y31" s="18">
        <v>-2.4002067220862949E-4</v>
      </c>
      <c r="Z31" s="18">
        <v>1.721624284982681E-4</v>
      </c>
      <c r="AA31" s="18">
        <v>-1.588476938195527E-3</v>
      </c>
      <c r="AB31" s="18">
        <v>-1.7197069246321921E-3</v>
      </c>
      <c r="AC31" s="18">
        <v>4.4964122935198247E-4</v>
      </c>
      <c r="AD31" s="18">
        <v>1.363339833915234E-3</v>
      </c>
      <c r="AE31" s="18">
        <v>-1.518593518994749E-3</v>
      </c>
      <c r="AF31" s="18">
        <v>-2.3071921896189451E-3</v>
      </c>
      <c r="AG31" s="17">
        <v>4</v>
      </c>
      <c r="AH31" s="16">
        <v>3.0000000000000001E-3</v>
      </c>
      <c r="AI31" s="17">
        <v>65</v>
      </c>
    </row>
    <row r="32" spans="1:35" x14ac:dyDescent="0.35">
      <c r="A32" s="27">
        <v>28</v>
      </c>
      <c r="B32" s="18">
        <v>1.172930836677551</v>
      </c>
      <c r="C32" s="18">
        <v>0.81694722175598145</v>
      </c>
      <c r="D32" s="18">
        <v>0.56432551145553589</v>
      </c>
      <c r="E32" s="18">
        <v>0.57313388586044312</v>
      </c>
      <c r="F32" s="18">
        <v>0.37625464797019958</v>
      </c>
      <c r="G32" s="18">
        <v>0.29807877540588379</v>
      </c>
      <c r="H32" s="18">
        <v>0.2251120209693909</v>
      </c>
      <c r="I32" s="18">
        <v>0.24024792015552521</v>
      </c>
      <c r="J32" s="18">
        <v>0.1979517787694931</v>
      </c>
      <c r="K32" s="18">
        <v>0.21277925372123721</v>
      </c>
      <c r="L32" s="18">
        <v>0.1647902578115463</v>
      </c>
      <c r="M32" s="18">
        <v>0.2227031737565994</v>
      </c>
      <c r="N32" s="18">
        <v>0.2319440096616745</v>
      </c>
      <c r="O32" s="18">
        <v>0.22760604321956629</v>
      </c>
      <c r="P32" s="18">
        <v>0.21271723508834839</v>
      </c>
      <c r="Q32" s="18">
        <v>0.20795194804668429</v>
      </c>
      <c r="R32" s="18">
        <v>0.26069283485412598</v>
      </c>
      <c r="S32" s="18">
        <v>0.2963370680809021</v>
      </c>
      <c r="T32" s="18">
        <v>0.27763965725898743</v>
      </c>
      <c r="U32" s="18">
        <v>0.32662224769592291</v>
      </c>
      <c r="V32" s="18">
        <v>0.39486175775527949</v>
      </c>
      <c r="W32" s="18">
        <v>0.36764878034591669</v>
      </c>
      <c r="X32" s="18">
        <v>0.34234049916267401</v>
      </c>
      <c r="Y32" s="18">
        <v>0.33534011244773859</v>
      </c>
      <c r="Z32" s="18">
        <v>0.29188218712806702</v>
      </c>
      <c r="AA32" s="18">
        <v>0.32291349768638611</v>
      </c>
      <c r="AB32" s="18">
        <v>0.32562720775604248</v>
      </c>
      <c r="AC32" s="18">
        <v>0.38670483231544489</v>
      </c>
      <c r="AD32" s="18">
        <v>0.35470542311668402</v>
      </c>
      <c r="AE32" s="18">
        <v>0.44638818502426147</v>
      </c>
      <c r="AF32" s="18">
        <v>0.45611903071403498</v>
      </c>
      <c r="AG32" s="17">
        <v>31</v>
      </c>
      <c r="AH32" s="16">
        <v>0.03</v>
      </c>
      <c r="AI32" s="17">
        <v>2</v>
      </c>
    </row>
    <row r="33" spans="1:35" x14ac:dyDescent="0.35">
      <c r="A33" s="27">
        <v>29</v>
      </c>
      <c r="B33" s="18">
        <v>1.091796278953552</v>
      </c>
      <c r="C33" s="18">
        <v>0.70715135335922241</v>
      </c>
      <c r="D33" s="18">
        <v>0.37599685788154602</v>
      </c>
      <c r="E33" s="18">
        <v>0.32423499226570129</v>
      </c>
      <c r="F33" s="18">
        <v>4.0260286186821759E-4</v>
      </c>
      <c r="G33" s="18">
        <v>-9.6253686933778226E-5</v>
      </c>
      <c r="H33" s="18">
        <v>-2.4305138504132631E-4</v>
      </c>
      <c r="I33" s="18">
        <v>-2.848184085451066E-4</v>
      </c>
      <c r="J33" s="18">
        <v>2.9400546918623149E-4</v>
      </c>
      <c r="K33" s="18">
        <v>-3.1503246282227337E-4</v>
      </c>
      <c r="L33" s="18">
        <v>-1.6032199710025449E-5</v>
      </c>
      <c r="M33" s="18">
        <v>1.3068594853393731E-4</v>
      </c>
      <c r="N33" s="18">
        <v>-5.6389046221738681E-5</v>
      </c>
      <c r="O33" s="18">
        <v>7.9667632235214114E-4</v>
      </c>
      <c r="P33" s="18">
        <v>-6.3893559854477644E-4</v>
      </c>
      <c r="Q33" s="18">
        <v>-7.4598420178517699E-4</v>
      </c>
      <c r="R33" s="18">
        <v>5.9706083266064525E-4</v>
      </c>
      <c r="S33" s="18">
        <v>6.490262458100915E-4</v>
      </c>
      <c r="T33" s="18">
        <v>3.6612694384530192E-4</v>
      </c>
      <c r="U33" s="18">
        <v>1.16079836152494E-3</v>
      </c>
      <c r="V33" s="18">
        <v>-9.304183186031878E-4</v>
      </c>
      <c r="W33" s="18">
        <v>-3.1052264967001969E-4</v>
      </c>
      <c r="X33" s="18">
        <v>-2.8853954063379209E-5</v>
      </c>
      <c r="Y33" s="18">
        <v>2.0455897320061922E-3</v>
      </c>
      <c r="Z33" s="18">
        <v>6.2596180941909552E-4</v>
      </c>
      <c r="AA33" s="18">
        <v>-1.9770478829741478E-3</v>
      </c>
      <c r="AB33" s="18">
        <v>1.5002597356215119E-3</v>
      </c>
      <c r="AC33" s="18">
        <v>7.4844388291239738E-4</v>
      </c>
      <c r="AD33" s="18">
        <v>2.5478443130850792E-3</v>
      </c>
      <c r="AE33" s="18">
        <v>2.3414527531713252E-3</v>
      </c>
      <c r="AF33" s="18">
        <v>2.5570066645741458E-3</v>
      </c>
      <c r="AG33" s="17">
        <v>4</v>
      </c>
      <c r="AH33" s="16">
        <v>3.0000000000000001E-3</v>
      </c>
      <c r="AI33" s="17">
        <v>66</v>
      </c>
    </row>
    <row r="34" spans="1:35" x14ac:dyDescent="0.35">
      <c r="A34" s="27">
        <v>30</v>
      </c>
      <c r="B34" s="18">
        <v>1.117118120193481</v>
      </c>
      <c r="C34" s="18">
        <v>0.72444713115692139</v>
      </c>
      <c r="D34" s="18">
        <v>0.37650713324546808</v>
      </c>
      <c r="E34" s="18">
        <v>0.32107439637184138</v>
      </c>
      <c r="F34" s="18">
        <v>1.07472378294915E-3</v>
      </c>
      <c r="G34" s="18">
        <v>-2.4687082623131568E-4</v>
      </c>
      <c r="H34" s="18">
        <v>-2.420328673906624E-4</v>
      </c>
      <c r="I34" s="18">
        <v>5.8941385941579938E-4</v>
      </c>
      <c r="J34" s="18">
        <v>-1.8871237989515069E-4</v>
      </c>
      <c r="K34" s="18">
        <v>-4.6795490197837347E-4</v>
      </c>
      <c r="L34" s="18">
        <v>-3.2193039078265429E-4</v>
      </c>
      <c r="M34" s="18">
        <v>-1.9440389587543899E-4</v>
      </c>
      <c r="N34" s="18">
        <v>-1.0497086914256219E-3</v>
      </c>
      <c r="O34" s="18">
        <v>-1.0171355679631231E-3</v>
      </c>
      <c r="P34" s="18">
        <v>-2.7715129544958472E-4</v>
      </c>
      <c r="Q34" s="18">
        <v>4.741669399663806E-4</v>
      </c>
      <c r="R34" s="18">
        <v>-7.5634074164554477E-4</v>
      </c>
      <c r="S34" s="18">
        <v>-4.635972436517477E-4</v>
      </c>
      <c r="T34" s="18">
        <v>2.3491282481700182E-3</v>
      </c>
      <c r="U34" s="18">
        <v>-1.2966621434316039E-3</v>
      </c>
      <c r="V34" s="18">
        <v>-8.5711857536807656E-4</v>
      </c>
      <c r="W34" s="18">
        <v>1.450286712497473E-3</v>
      </c>
      <c r="X34" s="18">
        <v>-1.6910421254578981E-4</v>
      </c>
      <c r="Y34" s="18">
        <v>2.0879461953882131E-4</v>
      </c>
      <c r="Z34" s="18">
        <v>-4.518575151450932E-4</v>
      </c>
      <c r="AA34" s="18">
        <v>7.6610315591096878E-4</v>
      </c>
      <c r="AB34" s="18">
        <v>-4.1366723598912358E-4</v>
      </c>
      <c r="AC34" s="18">
        <v>4.780977033078671E-4</v>
      </c>
      <c r="AD34" s="18">
        <v>1.129535085055977E-4</v>
      </c>
      <c r="AE34" s="18">
        <v>1.1829938739538191E-3</v>
      </c>
      <c r="AF34" s="18">
        <v>-2.3144336882978682E-3</v>
      </c>
      <c r="AG34" s="17">
        <v>4</v>
      </c>
      <c r="AH34" s="16">
        <v>3.0000000000000001E-3</v>
      </c>
      <c r="AI34" s="17">
        <v>67</v>
      </c>
    </row>
    <row r="35" spans="1:35" x14ac:dyDescent="0.35">
      <c r="A35" s="27">
        <v>31</v>
      </c>
      <c r="B35" s="18">
        <v>1.2433726787567141</v>
      </c>
      <c r="C35" s="18">
        <v>0.88990569114685059</v>
      </c>
      <c r="D35" s="18">
        <v>0.61902481317520142</v>
      </c>
      <c r="E35" s="18">
        <v>0.52930116653442383</v>
      </c>
      <c r="F35" s="18">
        <v>0.32940757274627691</v>
      </c>
      <c r="G35" s="18">
        <v>0.287454754114151</v>
      </c>
      <c r="H35" s="18">
        <v>0.23170013725757599</v>
      </c>
      <c r="I35" s="18">
        <v>0.23289844393730161</v>
      </c>
      <c r="J35" s="18">
        <v>-2.9005581745877862E-4</v>
      </c>
      <c r="K35" s="18">
        <v>-1.984603150049224E-4</v>
      </c>
      <c r="L35" s="18">
        <v>1.816286094253883E-4</v>
      </c>
      <c r="M35" s="18">
        <v>-2.5518806069158018E-4</v>
      </c>
      <c r="N35" s="18">
        <v>5.2368314936757088E-4</v>
      </c>
      <c r="O35" s="18">
        <v>1.334487227723002E-3</v>
      </c>
      <c r="P35" s="18">
        <v>5.9264029914629654E-6</v>
      </c>
      <c r="Q35" s="18">
        <v>-8.5474440129473805E-4</v>
      </c>
      <c r="R35" s="18">
        <v>-1.1331619461998339E-3</v>
      </c>
      <c r="S35" s="18">
        <v>6.502766627818346E-4</v>
      </c>
      <c r="T35" s="18">
        <v>-5.2609556587412953E-4</v>
      </c>
      <c r="U35" s="18">
        <v>-1.170542454929091E-4</v>
      </c>
      <c r="V35" s="18">
        <v>6.7405414301902056E-4</v>
      </c>
      <c r="W35" s="18">
        <v>5.9388589579612017E-4</v>
      </c>
      <c r="X35" s="18">
        <v>1.834522001445293E-3</v>
      </c>
      <c r="Y35" s="18">
        <v>9.7857578657567501E-4</v>
      </c>
      <c r="Z35" s="18">
        <v>-2.1690667199436581E-4</v>
      </c>
      <c r="AA35" s="18">
        <v>1.3599965022876861E-3</v>
      </c>
      <c r="AB35" s="18">
        <v>-5.5666008847765618E-5</v>
      </c>
      <c r="AC35" s="18">
        <v>2.1097701974213119E-3</v>
      </c>
      <c r="AD35" s="18">
        <v>1.3252640201244501E-4</v>
      </c>
      <c r="AE35" s="18">
        <v>-2.9362337663769722E-3</v>
      </c>
      <c r="AF35" s="18">
        <v>-1.029049046337605E-3</v>
      </c>
      <c r="AG35" s="17">
        <v>8</v>
      </c>
      <c r="AH35" s="16">
        <v>7.0000000000000001E-3</v>
      </c>
      <c r="AI35" s="17">
        <v>26</v>
      </c>
    </row>
    <row r="36" spans="1:35" x14ac:dyDescent="0.35">
      <c r="A36" s="27">
        <v>32</v>
      </c>
      <c r="B36" s="18">
        <v>1.2893761396408081</v>
      </c>
      <c r="C36" s="18">
        <v>0.95316404104232788</v>
      </c>
      <c r="D36" s="18">
        <v>0.69832378625869751</v>
      </c>
      <c r="E36" s="18">
        <v>0.66401439905166626</v>
      </c>
      <c r="F36" s="18">
        <v>0.45727956295013428</v>
      </c>
      <c r="G36" s="18">
        <v>0.36539429426193237</v>
      </c>
      <c r="H36" s="18">
        <v>0.2768096923828125</v>
      </c>
      <c r="I36" s="18">
        <v>0.28500732779502869</v>
      </c>
      <c r="J36" s="18">
        <v>0.2250745743513107</v>
      </c>
      <c r="K36" s="18">
        <v>0.26964998245239258</v>
      </c>
      <c r="L36" s="18">
        <v>0.1853725612163544</v>
      </c>
      <c r="M36" s="18">
        <v>0.208843007683754</v>
      </c>
      <c r="N36" s="18">
        <v>0.23746161162853241</v>
      </c>
      <c r="O36" s="18">
        <v>0.22840771079063421</v>
      </c>
      <c r="P36" s="18">
        <v>0.18292047083377841</v>
      </c>
      <c r="Q36" s="18">
        <v>0.17591641843318939</v>
      </c>
      <c r="R36" s="18">
        <v>0.2347843945026398</v>
      </c>
      <c r="S36" s="18">
        <v>0.21544025838375089</v>
      </c>
      <c r="T36" s="18">
        <v>0.25192004442214971</v>
      </c>
      <c r="U36" s="18">
        <v>0.2431395947933197</v>
      </c>
      <c r="V36" s="18">
        <v>0.20922081172466281</v>
      </c>
      <c r="W36" s="18">
        <v>0.20252203941345209</v>
      </c>
      <c r="X36" s="18">
        <v>0.22400330007076261</v>
      </c>
      <c r="Y36" s="18">
        <v>0.22037260234355929</v>
      </c>
      <c r="Z36" s="18">
        <v>0.19851712882518771</v>
      </c>
      <c r="AA36" s="18">
        <v>0.21398597955703741</v>
      </c>
      <c r="AB36" s="18">
        <v>0.17256435751914981</v>
      </c>
      <c r="AC36" s="18">
        <v>0.22961488366127011</v>
      </c>
      <c r="AD36" s="18">
        <v>0.25419920682907099</v>
      </c>
      <c r="AE36" s="18">
        <v>0.25703427195549011</v>
      </c>
      <c r="AF36" s="18">
        <v>0.25317156314849848</v>
      </c>
      <c r="AG36" s="17">
        <v>31</v>
      </c>
      <c r="AH36" s="16">
        <v>0.03</v>
      </c>
      <c r="AI36" s="17">
        <v>3</v>
      </c>
    </row>
    <row r="37" spans="1:35" x14ac:dyDescent="0.35">
      <c r="A37" s="27">
        <v>33</v>
      </c>
      <c r="B37" s="18">
        <v>1.2712910175323491</v>
      </c>
      <c r="C37" s="18">
        <v>0.9333261251449585</v>
      </c>
      <c r="D37" s="18">
        <v>0.68966805934906006</v>
      </c>
      <c r="E37" s="18">
        <v>0.64241373538970947</v>
      </c>
      <c r="F37" s="18">
        <v>0.52553331851959229</v>
      </c>
      <c r="G37" s="18">
        <v>0.47820845246315002</v>
      </c>
      <c r="H37" s="18">
        <v>0.42535990476608282</v>
      </c>
      <c r="I37" s="18">
        <v>0.37292253971099848</v>
      </c>
      <c r="J37" s="18">
        <v>0.33877703547477722</v>
      </c>
      <c r="K37" s="18">
        <v>0.35034796595573431</v>
      </c>
      <c r="L37" s="18">
        <v>0.31113061308860779</v>
      </c>
      <c r="M37" s="18">
        <v>0.34958735108375549</v>
      </c>
      <c r="N37" s="18">
        <v>0.44596379995346069</v>
      </c>
      <c r="O37" s="18">
        <v>0.42074424028396612</v>
      </c>
      <c r="P37" s="18">
        <v>0.36439293622970581</v>
      </c>
      <c r="Q37" s="18">
        <v>0.34185358881950378</v>
      </c>
      <c r="R37" s="18">
        <v>-1.7551968339830639E-3</v>
      </c>
      <c r="S37" s="18">
        <v>9.9148740991950035E-4</v>
      </c>
      <c r="T37" s="18">
        <v>8.1881310325115919E-4</v>
      </c>
      <c r="U37" s="18">
        <v>-7.7738292748108506E-4</v>
      </c>
      <c r="V37" s="18">
        <v>-1.168310758657753E-3</v>
      </c>
      <c r="W37" s="18">
        <v>2.7674250304698939E-4</v>
      </c>
      <c r="X37" s="18">
        <v>-6.073546246625483E-4</v>
      </c>
      <c r="Y37" s="18">
        <v>8.0437719589099288E-4</v>
      </c>
      <c r="Z37" s="18">
        <v>-1.3274803059175611E-3</v>
      </c>
      <c r="AA37" s="18">
        <v>-7.5412237492855638E-5</v>
      </c>
      <c r="AB37" s="18">
        <v>-3.1352319638244808E-5</v>
      </c>
      <c r="AC37" s="18">
        <v>-2.9815367888659239E-3</v>
      </c>
      <c r="AD37" s="18">
        <v>-1.3127853162586689E-4</v>
      </c>
      <c r="AE37" s="18">
        <v>8.4937433712184429E-4</v>
      </c>
      <c r="AF37" s="18">
        <v>2.1635293960571289E-3</v>
      </c>
      <c r="AG37" s="17">
        <v>16</v>
      </c>
      <c r="AH37" s="16">
        <v>1.4999999999999999E-2</v>
      </c>
      <c r="AI37" s="17">
        <v>14</v>
      </c>
    </row>
    <row r="38" spans="1:35" x14ac:dyDescent="0.35">
      <c r="A38" s="27">
        <v>34</v>
      </c>
      <c r="B38" s="18">
        <v>1.3267447948455811</v>
      </c>
      <c r="C38" s="18">
        <v>0.94234681129455566</v>
      </c>
      <c r="D38" s="18">
        <v>0.66360127925872803</v>
      </c>
      <c r="E38" s="18">
        <v>0.55397528409957886</v>
      </c>
      <c r="F38" s="18">
        <v>0.35740107297897339</v>
      </c>
      <c r="G38" s="18">
        <v>0.28441751003265381</v>
      </c>
      <c r="H38" s="18">
        <v>0.27648618817329412</v>
      </c>
      <c r="I38" s="18">
        <v>0.22393174469470981</v>
      </c>
      <c r="J38" s="18">
        <v>0.18998526036739349</v>
      </c>
      <c r="K38" s="18">
        <v>0.15871994197368619</v>
      </c>
      <c r="L38" s="18">
        <v>9.8194792866706848E-2</v>
      </c>
      <c r="M38" s="18">
        <v>1.341880531981587E-3</v>
      </c>
      <c r="N38" s="18">
        <v>2.292050048708916E-4</v>
      </c>
      <c r="O38" s="18">
        <v>6.3012883765622973E-4</v>
      </c>
      <c r="P38" s="18">
        <v>-4.8216973664239049E-4</v>
      </c>
      <c r="Q38" s="18">
        <v>3.0320155201479793E-4</v>
      </c>
      <c r="R38" s="18">
        <v>5.1516335224732757E-4</v>
      </c>
      <c r="S38" s="18">
        <v>1.734604127705097E-3</v>
      </c>
      <c r="T38" s="18">
        <v>-4.7237495891749859E-4</v>
      </c>
      <c r="U38" s="18">
        <v>1.1746548116207121E-3</v>
      </c>
      <c r="V38" s="18">
        <v>1.039674156345427E-3</v>
      </c>
      <c r="W38" s="18">
        <v>-1.0760829318314791E-3</v>
      </c>
      <c r="X38" s="18">
        <v>2.6322811027057469E-4</v>
      </c>
      <c r="Y38" s="18">
        <v>-1.9502298528095711E-5</v>
      </c>
      <c r="Z38" s="18">
        <v>9.5008563948795199E-4</v>
      </c>
      <c r="AA38" s="18">
        <v>9.6426100935786963E-4</v>
      </c>
      <c r="AB38" s="18">
        <v>-2.9435957549139857E-4</v>
      </c>
      <c r="AC38" s="18">
        <v>1.7152467044070361E-3</v>
      </c>
      <c r="AD38" s="18">
        <v>-8.2939513958990574E-4</v>
      </c>
      <c r="AE38" s="18">
        <v>1.6257638344541189E-4</v>
      </c>
      <c r="AF38" s="18">
        <v>-1.193222939036787E-3</v>
      </c>
      <c r="AG38" s="17">
        <v>11</v>
      </c>
      <c r="AH38" s="16">
        <v>0.01</v>
      </c>
      <c r="AI38" s="17">
        <v>21</v>
      </c>
    </row>
    <row r="39" spans="1:35" x14ac:dyDescent="0.35">
      <c r="A39" s="27">
        <v>35</v>
      </c>
      <c r="B39" s="18">
        <v>1.4600440263748169</v>
      </c>
      <c r="C39" s="18">
        <v>1.1660394668579099</v>
      </c>
      <c r="D39" s="18">
        <v>0.94801759719848633</v>
      </c>
      <c r="E39" s="18">
        <v>0.88910192251205444</v>
      </c>
      <c r="F39" s="18">
        <v>0.74178051948547363</v>
      </c>
      <c r="G39" s="18">
        <v>0.60449999570846558</v>
      </c>
      <c r="H39" s="18">
        <v>0.47529900074005133</v>
      </c>
      <c r="I39" s="18">
        <v>0.50153648853302002</v>
      </c>
      <c r="J39" s="18">
        <v>0.36495521664619451</v>
      </c>
      <c r="K39" s="18">
        <v>0.42744180560112</v>
      </c>
      <c r="L39" s="18">
        <v>0.31086158752441412</v>
      </c>
      <c r="M39" s="18">
        <v>0.41007116436958307</v>
      </c>
      <c r="N39" s="18">
        <v>3.210232593119144E-3</v>
      </c>
      <c r="O39" s="18">
        <v>2.9493421316146851E-3</v>
      </c>
      <c r="P39" s="18">
        <v>9.9341780878603458E-4</v>
      </c>
      <c r="Q39" s="18">
        <v>5.9369130758568645E-4</v>
      </c>
      <c r="R39" s="18">
        <v>2.0175767131149769E-3</v>
      </c>
      <c r="S39" s="18">
        <v>-7.7660009264945984E-4</v>
      </c>
      <c r="T39" s="18">
        <v>6.0651870444417E-4</v>
      </c>
      <c r="U39" s="18">
        <v>1.957298256456852E-3</v>
      </c>
      <c r="V39" s="18">
        <v>1.4304919168353081E-3</v>
      </c>
      <c r="W39" s="18">
        <v>1.760383835062385E-3</v>
      </c>
      <c r="X39" s="18">
        <v>1.3704395387321711E-3</v>
      </c>
      <c r="Y39" s="18">
        <v>-6.1700626974925399E-4</v>
      </c>
      <c r="Z39" s="18">
        <v>2.9886790434829891E-4</v>
      </c>
      <c r="AA39" s="18">
        <v>2.0851858425885439E-4</v>
      </c>
      <c r="AB39" s="18">
        <v>-9.0896995970979333E-4</v>
      </c>
      <c r="AC39" s="18">
        <v>2.4221204221248631E-3</v>
      </c>
      <c r="AD39" s="18">
        <v>-1.501934137195349E-3</v>
      </c>
      <c r="AE39" s="18">
        <v>1.3179465895518661E-3</v>
      </c>
      <c r="AF39" s="18">
        <v>1.8632467836141591E-3</v>
      </c>
      <c r="AG39" s="17">
        <v>12</v>
      </c>
      <c r="AH39" s="16">
        <v>1.0999999999999999E-2</v>
      </c>
      <c r="AI39" s="17">
        <v>19</v>
      </c>
    </row>
    <row r="40" spans="1:35" x14ac:dyDescent="0.35">
      <c r="A40" s="27">
        <v>36</v>
      </c>
      <c r="B40" s="18">
        <v>1.5796023607254031</v>
      </c>
      <c r="C40" s="18">
        <v>1.2534991502761841</v>
      </c>
      <c r="D40" s="18">
        <v>0.99990385770797729</v>
      </c>
      <c r="E40" s="18">
        <v>0.97175085544586182</v>
      </c>
      <c r="F40" s="18">
        <v>0.66753655672073364</v>
      </c>
      <c r="G40" s="18">
        <v>0.51699042320251465</v>
      </c>
      <c r="H40" s="18">
        <v>0.39073666930198669</v>
      </c>
      <c r="I40" s="18">
        <v>0.40188729763031011</v>
      </c>
      <c r="J40" s="18">
        <v>0.33973261713981628</v>
      </c>
      <c r="K40" s="18">
        <v>0.33506304025650019</v>
      </c>
      <c r="L40" s="18">
        <v>0.26967650651931763</v>
      </c>
      <c r="M40" s="18">
        <v>0.31422367691993708</v>
      </c>
      <c r="N40" s="18">
        <v>0.356029212474823</v>
      </c>
      <c r="O40" s="18">
        <v>0.41274693608284002</v>
      </c>
      <c r="P40" s="18">
        <v>0.30794182419776922</v>
      </c>
      <c r="Q40" s="18">
        <v>0.29529076814651489</v>
      </c>
      <c r="R40" s="18">
        <v>0.39256316423416138</v>
      </c>
      <c r="S40" s="18">
        <v>0.47245600819587708</v>
      </c>
      <c r="T40" s="18">
        <v>3.0458024702966209E-3</v>
      </c>
      <c r="U40" s="18">
        <v>-9.6102870884351432E-5</v>
      </c>
      <c r="V40" s="18">
        <v>8.3154765889048576E-5</v>
      </c>
      <c r="W40" s="18">
        <v>1.819041674025357E-3</v>
      </c>
      <c r="X40" s="18">
        <v>5.9627165319398046E-4</v>
      </c>
      <c r="Y40" s="18">
        <v>2.209170488640666E-3</v>
      </c>
      <c r="Z40" s="18">
        <v>-1.359101588604972E-4</v>
      </c>
      <c r="AA40" s="18">
        <v>-1.271934946998954E-3</v>
      </c>
      <c r="AB40" s="18">
        <v>6.8452674895524979E-5</v>
      </c>
      <c r="AC40" s="18">
        <v>8.1698986468836665E-4</v>
      </c>
      <c r="AD40" s="18">
        <v>1.9577161874622111E-3</v>
      </c>
      <c r="AE40" s="18">
        <v>3.492724616080523E-3</v>
      </c>
      <c r="AF40" s="18">
        <v>2.6520972605794668E-3</v>
      </c>
      <c r="AG40" s="17">
        <v>18</v>
      </c>
      <c r="AH40" s="16">
        <v>1.7000000000000001E-2</v>
      </c>
      <c r="AI40" s="17">
        <v>12</v>
      </c>
    </row>
    <row r="41" spans="1:35" x14ac:dyDescent="0.35">
      <c r="A41" s="27">
        <v>37</v>
      </c>
      <c r="B41" s="18">
        <v>1.018784642219543</v>
      </c>
      <c r="C41" s="18">
        <v>0.62703853845596313</v>
      </c>
      <c r="D41" s="18">
        <v>0.24797968566417691</v>
      </c>
      <c r="E41" s="18">
        <v>0.23127499222755429</v>
      </c>
      <c r="F41" s="18">
        <v>-9.3797541921958327E-5</v>
      </c>
      <c r="G41" s="18">
        <v>-2.7020002016797662E-4</v>
      </c>
      <c r="H41" s="18">
        <v>-4.5968732592882589E-5</v>
      </c>
      <c r="I41" s="18">
        <v>1.2995922588743269E-4</v>
      </c>
      <c r="J41" s="18">
        <v>1.038010304910131E-5</v>
      </c>
      <c r="K41" s="18">
        <v>1.437019382137805E-4</v>
      </c>
      <c r="L41" s="18">
        <v>-2.1095617557875809E-4</v>
      </c>
      <c r="M41" s="18">
        <v>-5.284871076582931E-5</v>
      </c>
      <c r="N41" s="18">
        <v>-7.8626770118717104E-5</v>
      </c>
      <c r="O41" s="18">
        <v>-7.3871412314474583E-4</v>
      </c>
      <c r="P41" s="18">
        <v>9.2480424791574478E-4</v>
      </c>
      <c r="Q41" s="18">
        <v>8.6890981765463948E-4</v>
      </c>
      <c r="R41" s="18">
        <v>5.9629161842167377E-4</v>
      </c>
      <c r="S41" s="18">
        <v>-1.1955541594943501E-5</v>
      </c>
      <c r="T41" s="18">
        <v>1.303466069657588E-5</v>
      </c>
      <c r="U41" s="18">
        <v>2.3984278959687799E-4</v>
      </c>
      <c r="V41" s="18">
        <v>-9.6460100030526519E-4</v>
      </c>
      <c r="W41" s="18">
        <v>-4.8517071991227573E-4</v>
      </c>
      <c r="X41" s="18">
        <v>1.426218776032329E-3</v>
      </c>
      <c r="Y41" s="18">
        <v>-6.6276144934818149E-4</v>
      </c>
      <c r="Z41" s="18">
        <v>9.1167219216004014E-4</v>
      </c>
      <c r="AA41" s="18">
        <v>1.2887766351923351E-3</v>
      </c>
      <c r="AB41" s="18">
        <v>-3.2996910158544779E-4</v>
      </c>
      <c r="AC41" s="18">
        <v>9.3510228907689452E-5</v>
      </c>
      <c r="AD41" s="18">
        <v>-1.8339803500566629E-4</v>
      </c>
      <c r="AE41" s="18">
        <v>-1.8308832077309489E-3</v>
      </c>
      <c r="AF41" s="18">
        <v>2.293088473379612E-3</v>
      </c>
      <c r="AG41" s="17">
        <v>4</v>
      </c>
      <c r="AH41" s="16">
        <v>3.0000000000000001E-3</v>
      </c>
      <c r="AI41" s="17">
        <v>68</v>
      </c>
    </row>
    <row r="42" spans="1:35" x14ac:dyDescent="0.35">
      <c r="A42" s="27">
        <v>38</v>
      </c>
      <c r="B42" s="18">
        <v>1.1598867177963259</v>
      </c>
      <c r="C42" s="18">
        <v>0.80725675821304321</v>
      </c>
      <c r="D42" s="18">
        <v>0.51836526393890381</v>
      </c>
      <c r="E42" s="18">
        <v>0.45747113227844238</v>
      </c>
      <c r="F42" s="18">
        <v>0.23626838624477389</v>
      </c>
      <c r="G42" s="18">
        <v>0.1752863675355911</v>
      </c>
      <c r="H42" s="18">
        <v>0.13835188746452329</v>
      </c>
      <c r="I42" s="18">
        <v>0.11708665639162059</v>
      </c>
      <c r="J42" s="18">
        <v>-1.7104248399846261E-4</v>
      </c>
      <c r="K42" s="18">
        <v>-6.3045450951904058E-4</v>
      </c>
      <c r="L42" s="18">
        <v>5.6872377172112458E-5</v>
      </c>
      <c r="M42" s="18">
        <v>-3.819362900685519E-4</v>
      </c>
      <c r="N42" s="18">
        <v>-1.812404807424173E-4</v>
      </c>
      <c r="O42" s="18">
        <v>-8.8733888696879148E-4</v>
      </c>
      <c r="P42" s="18">
        <v>-7.836471195332706E-5</v>
      </c>
      <c r="Q42" s="18">
        <v>-4.2867538286373019E-4</v>
      </c>
      <c r="R42" s="18">
        <v>-8.1773643614724278E-4</v>
      </c>
      <c r="S42" s="18">
        <v>-8.9585455134510994E-4</v>
      </c>
      <c r="T42" s="18">
        <v>-1.8139769090339539E-3</v>
      </c>
      <c r="U42" s="18">
        <v>-1.6001902986317871E-3</v>
      </c>
      <c r="V42" s="18">
        <v>-4.5985245378687978E-4</v>
      </c>
      <c r="W42" s="18">
        <v>8.0568826524540782E-4</v>
      </c>
      <c r="X42" s="18">
        <v>1.5085563063621521E-3</v>
      </c>
      <c r="Y42" s="18">
        <v>7.6366710709407926E-4</v>
      </c>
      <c r="Z42" s="18">
        <v>-1.5085394261404869E-4</v>
      </c>
      <c r="AA42" s="18">
        <v>-5.7733390713110566E-4</v>
      </c>
      <c r="AB42" s="18">
        <v>1.9860104657709599E-3</v>
      </c>
      <c r="AC42" s="18">
        <v>4.6422178274951881E-4</v>
      </c>
      <c r="AD42" s="18">
        <v>5.861239624209702E-4</v>
      </c>
      <c r="AE42" s="18">
        <v>-3.0600098398281261E-5</v>
      </c>
      <c r="AF42" s="18">
        <v>1.786308828741312E-3</v>
      </c>
      <c r="AG42" s="17">
        <v>8</v>
      </c>
      <c r="AH42" s="16">
        <v>7.0000000000000001E-3</v>
      </c>
      <c r="AI42" s="17">
        <v>27</v>
      </c>
    </row>
    <row r="43" spans="1:35" x14ac:dyDescent="0.35">
      <c r="A43" s="27">
        <v>39</v>
      </c>
      <c r="B43" s="18">
        <v>1.260484933853149</v>
      </c>
      <c r="C43" s="18">
        <v>0.91121548414230347</v>
      </c>
      <c r="D43" s="18">
        <v>0.63447976112365723</v>
      </c>
      <c r="E43" s="18">
        <v>0.64258605241775513</v>
      </c>
      <c r="F43" s="18">
        <v>0.33286702632904053</v>
      </c>
      <c r="G43" s="18">
        <v>0.24165882170200351</v>
      </c>
      <c r="H43" s="18">
        <v>0.18496489524841311</v>
      </c>
      <c r="I43" s="18">
        <v>0.20709069073200231</v>
      </c>
      <c r="J43" s="18">
        <v>0.17484764754772189</v>
      </c>
      <c r="K43" s="18">
        <v>0.17432573437690729</v>
      </c>
      <c r="L43" s="18">
        <v>0.15810532867908481</v>
      </c>
      <c r="M43" s="18">
        <v>0.15262250602245331</v>
      </c>
      <c r="N43" s="18">
        <v>0.23629304766654971</v>
      </c>
      <c r="O43" s="18">
        <v>0.2290200591087341</v>
      </c>
      <c r="P43" s="18">
        <v>0.19882212579250341</v>
      </c>
      <c r="Q43" s="18">
        <v>0.19202953577041629</v>
      </c>
      <c r="R43" s="18">
        <v>0.24253083765506739</v>
      </c>
      <c r="S43" s="18">
        <v>0.1908560395240784</v>
      </c>
      <c r="T43" s="18">
        <v>9.1303203953430057E-4</v>
      </c>
      <c r="U43" s="18">
        <v>-1.768730813637376E-3</v>
      </c>
      <c r="V43" s="18">
        <v>-6.8178784567862749E-4</v>
      </c>
      <c r="W43" s="18">
        <v>1.4655254199169579E-4</v>
      </c>
      <c r="X43" s="18">
        <v>-4.8425878048874438E-4</v>
      </c>
      <c r="Y43" s="18">
        <v>2.885045949369669E-3</v>
      </c>
      <c r="Z43" s="18">
        <v>-1.051787985488772E-3</v>
      </c>
      <c r="AA43" s="18">
        <v>-6.6748505923897028E-4</v>
      </c>
      <c r="AB43" s="18">
        <v>1.3921494828537111E-3</v>
      </c>
      <c r="AC43" s="18">
        <v>-1.091307960450649E-3</v>
      </c>
      <c r="AD43" s="18">
        <v>-1.214173156768084E-3</v>
      </c>
      <c r="AE43" s="18">
        <v>9.7121787257492542E-4</v>
      </c>
      <c r="AF43" s="18">
        <v>1.167165115475655E-3</v>
      </c>
      <c r="AG43" s="17">
        <v>18</v>
      </c>
      <c r="AH43" s="16">
        <v>1.7000000000000001E-2</v>
      </c>
      <c r="AI43" s="17">
        <v>13</v>
      </c>
    </row>
    <row r="44" spans="1:35" x14ac:dyDescent="0.35">
      <c r="A44" s="27">
        <v>40</v>
      </c>
      <c r="B44" s="18">
        <v>1.1439611911773679</v>
      </c>
      <c r="C44" s="18">
        <v>0.77622520923614502</v>
      </c>
      <c r="D44" s="18">
        <v>0.46766549348831182</v>
      </c>
      <c r="E44" s="18">
        <v>0.42197129130363459</v>
      </c>
      <c r="F44" s="18">
        <v>1.7288252711296082E-2</v>
      </c>
      <c r="G44" s="18">
        <v>-2.6666303165256983E-4</v>
      </c>
      <c r="H44" s="18">
        <v>2.458052767906338E-4</v>
      </c>
      <c r="I44" s="18">
        <v>2.2076323512010279E-4</v>
      </c>
      <c r="J44" s="18">
        <v>-1.22210676636314E-5</v>
      </c>
      <c r="K44" s="18">
        <v>1.265129307284951E-3</v>
      </c>
      <c r="L44" s="18">
        <v>-2.2184342378750441E-4</v>
      </c>
      <c r="M44" s="18">
        <v>1.405308103130665E-5</v>
      </c>
      <c r="N44" s="18">
        <v>2.176693960791454E-4</v>
      </c>
      <c r="O44" s="18">
        <v>-4.836602602154016E-4</v>
      </c>
      <c r="P44" s="18">
        <v>3.7559730117209261E-4</v>
      </c>
      <c r="Q44" s="18">
        <v>5.637339927488938E-5</v>
      </c>
      <c r="R44" s="18">
        <v>5.2250572480261326E-4</v>
      </c>
      <c r="S44" s="18">
        <v>6.7430338822305202E-4</v>
      </c>
      <c r="T44" s="18">
        <v>-2.3713300470262771E-4</v>
      </c>
      <c r="U44" s="18">
        <v>-7.1886280784383416E-4</v>
      </c>
      <c r="V44" s="18">
        <v>1.2908341595903039E-3</v>
      </c>
      <c r="W44" s="18">
        <v>-2.1941134764347231E-4</v>
      </c>
      <c r="X44" s="18">
        <v>-1.585642457939684E-3</v>
      </c>
      <c r="Y44" s="18">
        <v>-1.5223129885271189E-3</v>
      </c>
      <c r="Z44" s="18">
        <v>-3.5118157393299038E-4</v>
      </c>
      <c r="AA44" s="18">
        <v>-1.075467327609658E-3</v>
      </c>
      <c r="AB44" s="18">
        <v>-1.191104296594858E-3</v>
      </c>
      <c r="AC44" s="18">
        <v>-6.3206831691786647E-4</v>
      </c>
      <c r="AD44" s="18">
        <v>1.718775602057576E-3</v>
      </c>
      <c r="AE44" s="18">
        <v>6.3395022880285978E-4</v>
      </c>
      <c r="AF44" s="18">
        <v>-1.78335071541369E-3</v>
      </c>
      <c r="AG44" s="17">
        <v>5</v>
      </c>
      <c r="AH44" s="16">
        <v>4.0000000000000001E-3</v>
      </c>
      <c r="AI44" s="17">
        <v>45</v>
      </c>
    </row>
    <row r="45" spans="1:35" x14ac:dyDescent="0.35">
      <c r="A45" s="27">
        <v>41</v>
      </c>
      <c r="B45" s="18">
        <v>1.351772665977478</v>
      </c>
      <c r="C45" s="18">
        <v>1.015583992004395</v>
      </c>
      <c r="D45" s="18">
        <v>0.75806903839111328</v>
      </c>
      <c r="E45" s="18">
        <v>0.73941904306411743</v>
      </c>
      <c r="F45" s="18">
        <v>0.51621067523956299</v>
      </c>
      <c r="G45" s="18">
        <v>0.40351280570030212</v>
      </c>
      <c r="H45" s="18">
        <v>0.30962297320365911</v>
      </c>
      <c r="I45" s="18">
        <v>0.3433285653591156</v>
      </c>
      <c r="J45" s="18">
        <v>0.25797438621521002</v>
      </c>
      <c r="K45" s="18">
        <v>0.29177311062812811</v>
      </c>
      <c r="L45" s="18">
        <v>0.24857416749000549</v>
      </c>
      <c r="M45" s="18">
        <v>0.30672889947891241</v>
      </c>
      <c r="N45" s="18">
        <v>0.40907919406890869</v>
      </c>
      <c r="O45" s="18">
        <v>0.43170267343521118</v>
      </c>
      <c r="P45" s="18">
        <v>0.34149235486984247</v>
      </c>
      <c r="Q45" s="18">
        <v>0.32951655983924871</v>
      </c>
      <c r="R45" s="18">
        <v>0.48302066326141357</v>
      </c>
      <c r="S45" s="18">
        <v>0.46829426288604742</v>
      </c>
      <c r="T45" s="18">
        <v>0.43527615070343018</v>
      </c>
      <c r="U45" s="18">
        <v>0.52821630239486694</v>
      </c>
      <c r="V45" s="18">
        <v>0.57015246152877808</v>
      </c>
      <c r="W45" s="18">
        <v>0.55227011442184448</v>
      </c>
      <c r="X45" s="18">
        <v>0.55257052183151245</v>
      </c>
      <c r="Y45" s="18">
        <v>0.53362643718719482</v>
      </c>
      <c r="Z45" s="18">
        <v>0.47251003980636602</v>
      </c>
      <c r="AA45" s="18">
        <v>0.49642649292945862</v>
      </c>
      <c r="AB45" s="18">
        <v>0.46917065978050232</v>
      </c>
      <c r="AC45" s="18">
        <v>0.47763475775718689</v>
      </c>
      <c r="AD45" s="18">
        <v>0.46407341957092291</v>
      </c>
      <c r="AE45" s="18">
        <v>3.028330160304904E-3</v>
      </c>
      <c r="AF45" s="18">
        <v>1.595398411154747E-3</v>
      </c>
      <c r="AG45" s="17">
        <v>29</v>
      </c>
      <c r="AH45" s="16">
        <v>2.8000000000000001E-2</v>
      </c>
      <c r="AI45" s="17">
        <v>7</v>
      </c>
    </row>
    <row r="46" spans="1:35" x14ac:dyDescent="0.35">
      <c r="A46" s="27">
        <v>42</v>
      </c>
      <c r="B46" s="18">
        <v>1.1702578067779541</v>
      </c>
      <c r="C46" s="18">
        <v>0.81454771757125854</v>
      </c>
      <c r="D46" s="18">
        <v>0.5376850962638855</v>
      </c>
      <c r="E46" s="18">
        <v>0.49908590316772461</v>
      </c>
      <c r="F46" s="18">
        <v>0.27373281121253967</v>
      </c>
      <c r="G46" s="18">
        <v>0.22832304239273071</v>
      </c>
      <c r="H46" s="18">
        <v>0.18413494527339941</v>
      </c>
      <c r="I46" s="18">
        <v>0.15417011082172391</v>
      </c>
      <c r="J46" s="18">
        <v>-1.061836592270993E-4</v>
      </c>
      <c r="K46" s="18">
        <v>3.088227822445333E-4</v>
      </c>
      <c r="L46" s="18">
        <v>3.0155220883898442E-4</v>
      </c>
      <c r="M46" s="18">
        <v>-9.4431894831359386E-4</v>
      </c>
      <c r="N46" s="18">
        <v>-6.2412535771727562E-4</v>
      </c>
      <c r="O46" s="18">
        <v>-3.8127697189338511E-4</v>
      </c>
      <c r="P46" s="18">
        <v>-4.8710098781157278E-5</v>
      </c>
      <c r="Q46" s="18">
        <v>7.5902504613623023E-4</v>
      </c>
      <c r="R46" s="18">
        <v>-4.8932916251942515E-4</v>
      </c>
      <c r="S46" s="18">
        <v>-1.779443467967212E-3</v>
      </c>
      <c r="T46" s="18">
        <v>1.310257008299232E-3</v>
      </c>
      <c r="U46" s="18">
        <v>3.4348457120358939E-4</v>
      </c>
      <c r="V46" s="18">
        <v>-1.1339312186464669E-3</v>
      </c>
      <c r="W46" s="18">
        <v>-9.5405342290177941E-4</v>
      </c>
      <c r="X46" s="18">
        <v>1.8217974866274739E-4</v>
      </c>
      <c r="Y46" s="18">
        <v>1.249999506399035E-3</v>
      </c>
      <c r="Z46" s="18">
        <v>2.7190239052288229E-4</v>
      </c>
      <c r="AA46" s="18">
        <v>-1.841369085013866E-3</v>
      </c>
      <c r="AB46" s="18">
        <v>9.2249756562523544E-5</v>
      </c>
      <c r="AC46" s="18">
        <v>4.5703601790592069E-4</v>
      </c>
      <c r="AD46" s="18">
        <v>3.7012572283856571E-4</v>
      </c>
      <c r="AE46" s="18">
        <v>-1.1507329763844609E-3</v>
      </c>
      <c r="AF46" s="18">
        <v>1.4377522747963669E-3</v>
      </c>
      <c r="AG46" s="17">
        <v>8</v>
      </c>
      <c r="AH46" s="16">
        <v>7.0000000000000001E-3</v>
      </c>
      <c r="AI46" s="17">
        <v>28</v>
      </c>
    </row>
    <row r="47" spans="1:35" x14ac:dyDescent="0.35">
      <c r="A47" s="27">
        <v>43</v>
      </c>
      <c r="B47" s="18">
        <v>1.083813428878784</v>
      </c>
      <c r="C47" s="18">
        <v>0.6829027533531189</v>
      </c>
      <c r="D47" s="18">
        <v>0.31442433595657349</v>
      </c>
      <c r="E47" s="18">
        <v>0.29674342274665833</v>
      </c>
      <c r="F47" s="18">
        <v>-3.523311170283705E-4</v>
      </c>
      <c r="G47" s="18">
        <v>-4.1463266825303441E-4</v>
      </c>
      <c r="H47" s="18">
        <v>4.7229470510501408E-5</v>
      </c>
      <c r="I47" s="18">
        <v>4.6660297812195488E-5</v>
      </c>
      <c r="J47" s="18">
        <v>1.7742973795975558E-5</v>
      </c>
      <c r="K47" s="18">
        <v>-2.0514223433565351E-4</v>
      </c>
      <c r="L47" s="18">
        <v>1.5876325778663161E-4</v>
      </c>
      <c r="M47" s="18">
        <v>5.7096389355137944E-4</v>
      </c>
      <c r="N47" s="18">
        <v>-1.538478652946651E-3</v>
      </c>
      <c r="O47" s="18">
        <v>3.4110064734704792E-4</v>
      </c>
      <c r="P47" s="18">
        <v>9.8631229775492102E-5</v>
      </c>
      <c r="Q47" s="18">
        <v>-7.0430588675662875E-4</v>
      </c>
      <c r="R47" s="18">
        <v>5.6743290042504668E-4</v>
      </c>
      <c r="S47" s="18">
        <v>-5.7369022397324443E-4</v>
      </c>
      <c r="T47" s="18">
        <v>1.395192084601149E-4</v>
      </c>
      <c r="U47" s="18">
        <v>7.3368276935070753E-4</v>
      </c>
      <c r="V47" s="18">
        <v>1.2639308115467429E-3</v>
      </c>
      <c r="W47" s="18">
        <v>1.308670151047409E-3</v>
      </c>
      <c r="X47" s="18">
        <v>-1.70033355243504E-3</v>
      </c>
      <c r="Y47" s="18">
        <v>7.346088532358408E-4</v>
      </c>
      <c r="Z47" s="18">
        <v>-7.8032241435721517E-4</v>
      </c>
      <c r="AA47" s="18">
        <v>6.0606986517086625E-4</v>
      </c>
      <c r="AB47" s="18">
        <v>2.0271059474907821E-4</v>
      </c>
      <c r="AC47" s="18">
        <v>9.3940238002687693E-4</v>
      </c>
      <c r="AD47" s="18">
        <v>-6.4378260867670178E-4</v>
      </c>
      <c r="AE47" s="18">
        <v>1.9754527602344751E-3</v>
      </c>
      <c r="AF47" s="18">
        <v>2.2792592644691472E-3</v>
      </c>
      <c r="AG47" s="17">
        <v>4</v>
      </c>
      <c r="AH47" s="16">
        <v>3.0000000000000001E-3</v>
      </c>
      <c r="AI47" s="17">
        <v>69</v>
      </c>
    </row>
    <row r="48" spans="1:35" x14ac:dyDescent="0.35">
      <c r="A48" s="27">
        <v>44</v>
      </c>
      <c r="B48" s="18">
        <v>1.0363643169403081</v>
      </c>
      <c r="C48" s="18">
        <v>0.65379661321640015</v>
      </c>
      <c r="D48" s="18">
        <v>0.30171284079551702</v>
      </c>
      <c r="E48" s="18">
        <v>0.27884566783905029</v>
      </c>
      <c r="F48" s="18">
        <v>4.930338473059237E-4</v>
      </c>
      <c r="G48" s="18">
        <v>1.172267715446651E-3</v>
      </c>
      <c r="H48" s="18">
        <v>7.999307126738131E-5</v>
      </c>
      <c r="I48" s="18">
        <v>-3.1925737857818597E-5</v>
      </c>
      <c r="J48" s="18">
        <v>-2.472605956427287E-5</v>
      </c>
      <c r="K48" s="18">
        <v>-5.0082376219506841E-6</v>
      </c>
      <c r="L48" s="18">
        <v>-1.4576673856936401E-4</v>
      </c>
      <c r="M48" s="18">
        <v>6.2229423747339752E-6</v>
      </c>
      <c r="N48" s="18">
        <v>-2.7443980798125272E-4</v>
      </c>
      <c r="O48" s="18">
        <v>6.9836567854508758E-4</v>
      </c>
      <c r="P48" s="18">
        <v>-8.9357397519052029E-4</v>
      </c>
      <c r="Q48" s="18">
        <v>-7.9836597433313727E-4</v>
      </c>
      <c r="R48" s="18">
        <v>1.2443992309272289E-3</v>
      </c>
      <c r="S48" s="18">
        <v>4.2596622370183468E-4</v>
      </c>
      <c r="T48" s="18">
        <v>9.3561602989211679E-4</v>
      </c>
      <c r="U48" s="18">
        <v>-3.9060448762029409E-4</v>
      </c>
      <c r="V48" s="18">
        <v>4.11904533393681E-4</v>
      </c>
      <c r="W48" s="18">
        <v>1.2993397831451151E-4</v>
      </c>
      <c r="X48" s="18">
        <v>7.8172364737838507E-5</v>
      </c>
      <c r="Y48" s="18">
        <v>1.1358172632753849E-3</v>
      </c>
      <c r="Z48" s="18">
        <v>-5.4448365699499846E-4</v>
      </c>
      <c r="AA48" s="18">
        <v>2.1526231430470939E-3</v>
      </c>
      <c r="AB48" s="18">
        <v>-8.563057635910809E-4</v>
      </c>
      <c r="AC48" s="18">
        <v>-4.8921041889116168E-4</v>
      </c>
      <c r="AD48" s="18">
        <v>3.2052319147624081E-4</v>
      </c>
      <c r="AE48" s="18">
        <v>1.8411542987450959E-3</v>
      </c>
      <c r="AF48" s="18">
        <v>-2.4739538785070181E-3</v>
      </c>
      <c r="AG48" s="17">
        <v>4</v>
      </c>
      <c r="AH48" s="16">
        <v>3.0000000000000001E-3</v>
      </c>
      <c r="AI48" s="17">
        <v>70</v>
      </c>
    </row>
    <row r="49" spans="1:35" x14ac:dyDescent="0.35">
      <c r="A49" s="27">
        <v>45</v>
      </c>
      <c r="B49" s="18">
        <v>1.1407585144042971</v>
      </c>
      <c r="C49" s="18">
        <v>0.76636224985122681</v>
      </c>
      <c r="D49" s="18">
        <v>0.45073404908180242</v>
      </c>
      <c r="E49" s="18">
        <v>0.41484314203262329</v>
      </c>
      <c r="F49" s="18">
        <v>4.5296240597963333E-2</v>
      </c>
      <c r="G49" s="18">
        <v>3.4133144072256982E-4</v>
      </c>
      <c r="H49" s="18">
        <v>4.1927673009922728E-5</v>
      </c>
      <c r="I49" s="18">
        <v>3.64471081411466E-4</v>
      </c>
      <c r="J49" s="18">
        <v>-1.8632116552907971E-4</v>
      </c>
      <c r="K49" s="18">
        <v>9.7171124070882797E-4</v>
      </c>
      <c r="L49" s="18">
        <v>1.3516315084416419E-4</v>
      </c>
      <c r="M49" s="18">
        <v>1.196762750623748E-4</v>
      </c>
      <c r="N49" s="18">
        <v>4.3584848754107952E-4</v>
      </c>
      <c r="O49" s="18">
        <v>1.0084732202813029E-3</v>
      </c>
      <c r="P49" s="18">
        <v>-2.7925710310228169E-4</v>
      </c>
      <c r="Q49" s="18">
        <v>-4.8843352124094963E-4</v>
      </c>
      <c r="R49" s="18">
        <v>2.4865157902240749E-3</v>
      </c>
      <c r="S49" s="18">
        <v>3.5546725848689681E-4</v>
      </c>
      <c r="T49" s="18">
        <v>-1.2431698269210761E-4</v>
      </c>
      <c r="U49" s="18">
        <v>1.124576083384454E-3</v>
      </c>
      <c r="V49" s="18">
        <v>-6.800201372243464E-4</v>
      </c>
      <c r="W49" s="18">
        <v>-3.4846048220060771E-4</v>
      </c>
      <c r="X49" s="18">
        <v>-1.7230936791747811E-3</v>
      </c>
      <c r="Y49" s="18">
        <v>-7.0176069857552648E-4</v>
      </c>
      <c r="Z49" s="18">
        <v>-1.564120990224183E-3</v>
      </c>
      <c r="AA49" s="18">
        <v>8.6900530732236803E-5</v>
      </c>
      <c r="AB49" s="18">
        <v>-2.045653760433197E-3</v>
      </c>
      <c r="AC49" s="18">
        <v>-1.163322944194078E-3</v>
      </c>
      <c r="AD49" s="18">
        <v>1.3172698672860861E-3</v>
      </c>
      <c r="AE49" s="18">
        <v>-4.208552127238363E-4</v>
      </c>
      <c r="AF49" s="18">
        <v>-5.7427614228799939E-4</v>
      </c>
      <c r="AG49" s="17">
        <v>5</v>
      </c>
      <c r="AH49" s="16">
        <v>4.0000000000000001E-3</v>
      </c>
      <c r="AI49" s="17">
        <v>46</v>
      </c>
    </row>
    <row r="50" spans="1:35" x14ac:dyDescent="0.35">
      <c r="A50" s="27">
        <v>46</v>
      </c>
      <c r="B50" s="18">
        <v>1.1046538352966311</v>
      </c>
      <c r="C50" s="18">
        <v>0.73427861928939819</v>
      </c>
      <c r="D50" s="18">
        <v>0.41335579752922058</v>
      </c>
      <c r="E50" s="18">
        <v>0.38203221559524542</v>
      </c>
      <c r="F50" s="18">
        <v>1.3740553986281161E-3</v>
      </c>
      <c r="G50" s="18">
        <v>4.9200176727026701E-4</v>
      </c>
      <c r="H50" s="18">
        <v>-2.376893098698929E-5</v>
      </c>
      <c r="I50" s="18">
        <v>-3.7195501499809319E-4</v>
      </c>
      <c r="J50" s="18">
        <v>-1.448017137590796E-4</v>
      </c>
      <c r="K50" s="18">
        <v>5.2678992506116629E-4</v>
      </c>
      <c r="L50" s="18">
        <v>-2.2104455274529761E-4</v>
      </c>
      <c r="M50" s="18">
        <v>-3.7351826904341578E-5</v>
      </c>
      <c r="N50" s="18">
        <v>-2.490766928531229E-4</v>
      </c>
      <c r="O50" s="18">
        <v>3.1665706774219871E-4</v>
      </c>
      <c r="P50" s="18">
        <v>6.2316417461261153E-4</v>
      </c>
      <c r="Q50" s="18">
        <v>-5.2754482021555305E-4</v>
      </c>
      <c r="R50" s="18">
        <v>1.8810085020959379E-3</v>
      </c>
      <c r="S50" s="18">
        <v>1.0247839381918309E-3</v>
      </c>
      <c r="T50" s="18">
        <v>-1.299579453188926E-4</v>
      </c>
      <c r="U50" s="18">
        <v>-7.0165004581212997E-4</v>
      </c>
      <c r="V50" s="18">
        <v>-4.4847122626379132E-4</v>
      </c>
      <c r="W50" s="18">
        <v>1.4291256957221779E-4</v>
      </c>
      <c r="X50" s="18">
        <v>2.0272156689316029E-4</v>
      </c>
      <c r="Y50" s="18">
        <v>-7.6606188667938113E-4</v>
      </c>
      <c r="Z50" s="18">
        <v>2.8154757455922658E-4</v>
      </c>
      <c r="AA50" s="18">
        <v>-1.4545401791110629E-4</v>
      </c>
      <c r="AB50" s="18">
        <v>-7.1226415457203984E-4</v>
      </c>
      <c r="AC50" s="18">
        <v>2.8407098725438118E-3</v>
      </c>
      <c r="AD50" s="18">
        <v>-3.1675479840487242E-3</v>
      </c>
      <c r="AE50" s="18">
        <v>2.3515124339610338E-3</v>
      </c>
      <c r="AF50" s="18">
        <v>-2.6011806912720199E-3</v>
      </c>
      <c r="AG50" s="17">
        <v>4</v>
      </c>
      <c r="AH50" s="16">
        <v>3.0000000000000001E-3</v>
      </c>
      <c r="AI50" s="17">
        <v>71</v>
      </c>
    </row>
    <row r="51" spans="1:35" x14ac:dyDescent="0.35">
      <c r="A51" s="27">
        <v>47</v>
      </c>
      <c r="B51" s="18">
        <v>1.12026059627533</v>
      </c>
      <c r="C51" s="18">
        <v>0.73838526010513306</v>
      </c>
      <c r="D51" s="18">
        <v>0.4037272036075592</v>
      </c>
      <c r="E51" s="18">
        <v>0.30731937289237982</v>
      </c>
      <c r="F51" s="18">
        <v>5.2425218746066093E-4</v>
      </c>
      <c r="G51" s="18">
        <v>-3.0782617977820342E-4</v>
      </c>
      <c r="H51" s="18">
        <v>-3.2347565866075462E-4</v>
      </c>
      <c r="I51" s="18">
        <v>-1.0042442590929571E-4</v>
      </c>
      <c r="J51" s="18">
        <v>-1.7236312851309779E-4</v>
      </c>
      <c r="K51" s="18">
        <v>3.0366875580511993E-4</v>
      </c>
      <c r="L51" s="18">
        <v>3.0160346068441868E-4</v>
      </c>
      <c r="M51" s="18">
        <v>3.73909279005602E-4</v>
      </c>
      <c r="N51" s="18">
        <v>-6.9247599458321929E-4</v>
      </c>
      <c r="O51" s="18">
        <v>-1.0491274297237401E-3</v>
      </c>
      <c r="P51" s="18">
        <v>-3.8563658017665148E-4</v>
      </c>
      <c r="Q51" s="18">
        <v>-2.9905085102654988E-4</v>
      </c>
      <c r="R51" s="18">
        <v>1.669354154728353E-3</v>
      </c>
      <c r="S51" s="18">
        <v>4.5046446030028159E-4</v>
      </c>
      <c r="T51" s="18">
        <v>1.793787581846118E-3</v>
      </c>
      <c r="U51" s="18">
        <v>7.396326691377908E-5</v>
      </c>
      <c r="V51" s="18">
        <v>-7.9679698683321476E-4</v>
      </c>
      <c r="W51" s="18">
        <v>4.9910217057913542E-4</v>
      </c>
      <c r="X51" s="18">
        <v>-1.152632525190711E-3</v>
      </c>
      <c r="Y51" s="18">
        <v>1.557346666231751E-3</v>
      </c>
      <c r="Z51" s="18">
        <v>1.4227240171749139E-4</v>
      </c>
      <c r="AA51" s="18">
        <v>1.60564889665693E-3</v>
      </c>
      <c r="AB51" s="18">
        <v>2.4395824584644291E-4</v>
      </c>
      <c r="AC51" s="18">
        <v>-1.9606095738708969E-3</v>
      </c>
      <c r="AD51" s="18">
        <v>-3.6341836676001549E-4</v>
      </c>
      <c r="AE51" s="18">
        <v>5.3075666073709726E-4</v>
      </c>
      <c r="AF51" s="18">
        <v>-1.9418963929638271E-3</v>
      </c>
      <c r="AG51" s="17">
        <v>4</v>
      </c>
      <c r="AH51" s="16">
        <v>3.0000000000000001E-3</v>
      </c>
      <c r="AI51" s="17">
        <v>72</v>
      </c>
    </row>
    <row r="52" spans="1:35" x14ac:dyDescent="0.35">
      <c r="A52" s="27">
        <v>48</v>
      </c>
      <c r="B52" s="18">
        <v>1.26975953578949</v>
      </c>
      <c r="C52" s="18">
        <v>0.90204459428787231</v>
      </c>
      <c r="D52" s="18">
        <v>0.62304341793060303</v>
      </c>
      <c r="E52" s="18">
        <v>0.48137691617012018</v>
      </c>
      <c r="F52" s="18">
        <v>0.2589443027973175</v>
      </c>
      <c r="G52" s="18">
        <v>3.2674209796823561E-4</v>
      </c>
      <c r="H52" s="18">
        <v>-1.9984520622529089E-4</v>
      </c>
      <c r="I52" s="18">
        <v>-3.371302445884794E-4</v>
      </c>
      <c r="J52" s="18">
        <v>2.8217642102390528E-4</v>
      </c>
      <c r="K52" s="18">
        <v>-4.5278333709575241E-4</v>
      </c>
      <c r="L52" s="18">
        <v>2.1061581719550301E-5</v>
      </c>
      <c r="M52" s="18">
        <v>5.6496970501029857E-5</v>
      </c>
      <c r="N52" s="18">
        <v>2.1146961080376059E-4</v>
      </c>
      <c r="O52" s="18">
        <v>3.4346865140832961E-4</v>
      </c>
      <c r="P52" s="18">
        <v>1.6425679859821681E-5</v>
      </c>
      <c r="Q52" s="18">
        <v>-7.9736643237993121E-4</v>
      </c>
      <c r="R52" s="18">
        <v>5.3277378901839256E-4</v>
      </c>
      <c r="S52" s="18">
        <v>-5.2525452338159084E-4</v>
      </c>
      <c r="T52" s="18">
        <v>1.367980963550508E-3</v>
      </c>
      <c r="U52" s="18">
        <v>9.2681345995515585E-4</v>
      </c>
      <c r="V52" s="18">
        <v>1.521262223832309E-3</v>
      </c>
      <c r="W52" s="18">
        <v>-6.7338033113628626E-4</v>
      </c>
      <c r="X52" s="18">
        <v>4.2665790533646941E-4</v>
      </c>
      <c r="Y52" s="18">
        <v>-1.0748443892225621E-3</v>
      </c>
      <c r="Z52" s="18">
        <v>-1.066434546373785E-3</v>
      </c>
      <c r="AA52" s="18">
        <v>4.6824425226077437E-4</v>
      </c>
      <c r="AB52" s="18">
        <v>-1.908334088511765E-3</v>
      </c>
      <c r="AC52" s="18">
        <v>8.6937390733510256E-4</v>
      </c>
      <c r="AD52" s="18">
        <v>-2.455084584653378E-3</v>
      </c>
      <c r="AE52" s="18">
        <v>8.3796837134286761E-4</v>
      </c>
      <c r="AF52" s="18">
        <v>-2.290338277816772E-3</v>
      </c>
      <c r="AG52" s="17">
        <v>5</v>
      </c>
      <c r="AH52" s="16">
        <v>4.0000000000000001E-3</v>
      </c>
      <c r="AI52" s="17">
        <v>47</v>
      </c>
    </row>
    <row r="53" spans="1:35" x14ac:dyDescent="0.35">
      <c r="A53" s="27">
        <v>49</v>
      </c>
      <c r="B53" s="18">
        <v>1.148831248283386</v>
      </c>
      <c r="C53" s="18">
        <v>0.79213565587997437</v>
      </c>
      <c r="D53" s="18">
        <v>0.52465641498565674</v>
      </c>
      <c r="E53" s="18">
        <v>0.47785449028015142</v>
      </c>
      <c r="F53" s="18">
        <v>0.33409589529037481</v>
      </c>
      <c r="G53" s="18">
        <v>0.29530841112136841</v>
      </c>
      <c r="H53" s="18">
        <v>0.22297459840774539</v>
      </c>
      <c r="I53" s="18">
        <v>0.19990263879299161</v>
      </c>
      <c r="J53" s="18">
        <v>0.1531028896570206</v>
      </c>
      <c r="K53" s="18">
        <v>0.1834191977977753</v>
      </c>
      <c r="L53" s="18">
        <v>0.1307637691497803</v>
      </c>
      <c r="M53" s="18">
        <v>0.15291519463062289</v>
      </c>
      <c r="N53" s="18">
        <v>0.18361134827136991</v>
      </c>
      <c r="O53" s="18">
        <v>0.21050287783145899</v>
      </c>
      <c r="P53" s="18">
        <v>0.20145262777805331</v>
      </c>
      <c r="Q53" s="18">
        <v>0.19432087242603299</v>
      </c>
      <c r="R53" s="18">
        <v>-3.0744430841878062E-4</v>
      </c>
      <c r="S53" s="18">
        <v>1.4628309872932729E-4</v>
      </c>
      <c r="T53" s="18">
        <v>-7.0639525074511766E-4</v>
      </c>
      <c r="U53" s="18">
        <v>6.5449241083115339E-4</v>
      </c>
      <c r="V53" s="18">
        <v>-6.0549512272700667E-4</v>
      </c>
      <c r="W53" s="18">
        <v>-4.4894393067806959E-4</v>
      </c>
      <c r="X53" s="18">
        <v>1.4548581093549731E-3</v>
      </c>
      <c r="Y53" s="18">
        <v>-8.7037554476410151E-4</v>
      </c>
      <c r="Z53" s="18">
        <v>6.8856717552989721E-4</v>
      </c>
      <c r="AA53" s="18">
        <v>-9.3993236077949405E-5</v>
      </c>
      <c r="AB53" s="18">
        <v>1.235608593560755E-3</v>
      </c>
      <c r="AC53" s="18">
        <v>2.978831980726682E-5</v>
      </c>
      <c r="AD53" s="18">
        <v>-2.801218070089817E-3</v>
      </c>
      <c r="AE53" s="18">
        <v>-1.779686426743865E-3</v>
      </c>
      <c r="AF53" s="18">
        <v>-2.4107452481985092E-3</v>
      </c>
      <c r="AG53" s="17">
        <v>16</v>
      </c>
      <c r="AH53" s="16">
        <v>1.4999999999999999E-2</v>
      </c>
      <c r="AI53" s="17">
        <v>15</v>
      </c>
    </row>
    <row r="54" spans="1:35" x14ac:dyDescent="0.35">
      <c r="A54" s="27">
        <v>50</v>
      </c>
      <c r="B54" s="18">
        <v>1.1553246974945071</v>
      </c>
      <c r="C54" s="18">
        <v>0.78300994634628296</v>
      </c>
      <c r="D54" s="18">
        <v>0.47564586997032171</v>
      </c>
      <c r="E54" s="18">
        <v>0.41255190968513489</v>
      </c>
      <c r="F54" s="18">
        <v>3.634895663708448E-3</v>
      </c>
      <c r="G54" s="18">
        <v>1.236285199411213E-3</v>
      </c>
      <c r="H54" s="18">
        <v>-3.1989353010430932E-4</v>
      </c>
      <c r="I54" s="18">
        <v>3.6251428537070751E-4</v>
      </c>
      <c r="J54" s="18">
        <v>1.2648894335143271E-4</v>
      </c>
      <c r="K54" s="18">
        <v>-2.7874493389390409E-4</v>
      </c>
      <c r="L54" s="18">
        <v>-3.195662575308233E-4</v>
      </c>
      <c r="M54" s="18">
        <v>-2.6532290576142259E-5</v>
      </c>
      <c r="N54" s="18">
        <v>2.0107955788262191E-4</v>
      </c>
      <c r="O54" s="18">
        <v>7.8497768845409155E-4</v>
      </c>
      <c r="P54" s="18">
        <v>6.1890343204140663E-4</v>
      </c>
      <c r="Q54" s="18">
        <v>-9.0498261852189898E-4</v>
      </c>
      <c r="R54" s="18">
        <v>1.296442467719316E-3</v>
      </c>
      <c r="S54" s="18">
        <v>1.446584356017411E-3</v>
      </c>
      <c r="T54" s="18">
        <v>2.891236450523138E-3</v>
      </c>
      <c r="U54" s="18">
        <v>1.428709249012172E-3</v>
      </c>
      <c r="V54" s="18">
        <v>9.5070601673796773E-5</v>
      </c>
      <c r="W54" s="18">
        <v>-8.7214598897844553E-4</v>
      </c>
      <c r="X54" s="18">
        <v>-1.372366212308407E-3</v>
      </c>
      <c r="Y54" s="18">
        <v>-7.0136220892891288E-4</v>
      </c>
      <c r="Z54" s="18">
        <v>1.191396731883287E-3</v>
      </c>
      <c r="AA54" s="18">
        <v>2.408869186183438E-4</v>
      </c>
      <c r="AB54" s="18">
        <v>-1.924806740134954E-3</v>
      </c>
      <c r="AC54" s="18">
        <v>-1.1549126356840129E-3</v>
      </c>
      <c r="AD54" s="18">
        <v>2.2096184547990561E-3</v>
      </c>
      <c r="AE54" s="18">
        <v>4.0080898907035589E-4</v>
      </c>
      <c r="AF54" s="18">
        <v>6.7309715086594224E-4</v>
      </c>
      <c r="AG54" s="17">
        <v>4</v>
      </c>
      <c r="AH54" s="16">
        <v>3.0000000000000001E-3</v>
      </c>
      <c r="AI54" s="17">
        <v>73</v>
      </c>
    </row>
    <row r="55" spans="1:35" x14ac:dyDescent="0.35">
      <c r="A55" s="27">
        <v>51</v>
      </c>
      <c r="B55" s="18">
        <v>1.132818937301636</v>
      </c>
      <c r="C55" s="18">
        <v>0.76906543970108032</v>
      </c>
      <c r="D55" s="18">
        <v>0.44834122061729431</v>
      </c>
      <c r="E55" s="18">
        <v>0.34719404578208918</v>
      </c>
      <c r="F55" s="18">
        <v>3.7191077135503292E-3</v>
      </c>
      <c r="G55" s="18">
        <v>1.9953374285250898E-3</v>
      </c>
      <c r="H55" s="18">
        <v>2.5061165797524149E-4</v>
      </c>
      <c r="I55" s="18">
        <v>1.569089363329113E-3</v>
      </c>
      <c r="J55" s="18">
        <v>2.4675086024217308E-4</v>
      </c>
      <c r="K55" s="18">
        <v>6.4736936474218965E-4</v>
      </c>
      <c r="L55" s="18">
        <v>-2.2432488913182169E-4</v>
      </c>
      <c r="M55" s="18">
        <v>2.6227894704788918E-4</v>
      </c>
      <c r="N55" s="18">
        <v>1.1122556170448661E-3</v>
      </c>
      <c r="O55" s="18">
        <v>3.5089871380478139E-3</v>
      </c>
      <c r="P55" s="18">
        <v>-1.4021588140167301E-4</v>
      </c>
      <c r="Q55" s="18">
        <v>1.0362099856138229E-3</v>
      </c>
      <c r="R55" s="18">
        <v>4.1238046251237392E-3</v>
      </c>
      <c r="S55" s="18">
        <v>-1.169381212093867E-4</v>
      </c>
      <c r="T55" s="18">
        <v>3.3896681852638721E-3</v>
      </c>
      <c r="U55" s="18">
        <v>-7.3577201692387462E-4</v>
      </c>
      <c r="V55" s="18">
        <v>-7.0916744880378246E-4</v>
      </c>
      <c r="W55" s="18">
        <v>6.9875107146799564E-4</v>
      </c>
      <c r="X55" s="18">
        <v>-1.3255876547191289E-4</v>
      </c>
      <c r="Y55" s="18">
        <v>1.0474587325006719E-3</v>
      </c>
      <c r="Z55" s="18">
        <v>4.206472949590534E-4</v>
      </c>
      <c r="AA55" s="18">
        <v>1.6554614994674921E-3</v>
      </c>
      <c r="AB55" s="18">
        <v>2.0917272195219989E-3</v>
      </c>
      <c r="AC55" s="18">
        <v>2.467732178047299E-3</v>
      </c>
      <c r="AD55" s="18">
        <v>-3.3045822056010371E-4</v>
      </c>
      <c r="AE55" s="18">
        <v>-1.364738331176341E-3</v>
      </c>
      <c r="AF55" s="18">
        <v>-1.413563499227166E-3</v>
      </c>
      <c r="AG55" s="17">
        <v>4</v>
      </c>
      <c r="AH55" s="16">
        <v>3.0000000000000001E-3</v>
      </c>
      <c r="AI55" s="17">
        <v>74</v>
      </c>
    </row>
    <row r="56" spans="1:35" x14ac:dyDescent="0.35">
      <c r="A56" s="27">
        <v>52</v>
      </c>
      <c r="B56" s="18">
        <v>1.0035732984542849</v>
      </c>
      <c r="C56" s="18">
        <v>0.60635983943939209</v>
      </c>
      <c r="D56" s="18">
        <v>0.21834886074066159</v>
      </c>
      <c r="E56" s="18">
        <v>0.20412801206111911</v>
      </c>
      <c r="F56" s="18">
        <v>5.5814580991864204E-4</v>
      </c>
      <c r="G56" s="18">
        <v>-1.126919887610711E-4</v>
      </c>
      <c r="H56" s="18">
        <v>3.1891089747659862E-4</v>
      </c>
      <c r="I56" s="18">
        <v>-3.0004442669451242E-4</v>
      </c>
      <c r="J56" s="18">
        <v>2.3274621344171459E-4</v>
      </c>
      <c r="K56" s="18">
        <v>3.2837322214618331E-4</v>
      </c>
      <c r="L56" s="18">
        <v>2.4339243827853349E-4</v>
      </c>
      <c r="M56" s="18">
        <v>5.4018315859138966E-4</v>
      </c>
      <c r="N56" s="18">
        <v>-8.6106255184859037E-4</v>
      </c>
      <c r="O56" s="18">
        <v>4.1743821930140262E-4</v>
      </c>
      <c r="P56" s="18">
        <v>-1.5603695646859711E-4</v>
      </c>
      <c r="Q56" s="18">
        <v>2.8410425875335932E-4</v>
      </c>
      <c r="R56" s="18">
        <v>3.1760972342453902E-4</v>
      </c>
      <c r="S56" s="18">
        <v>-7.2216044645756483E-4</v>
      </c>
      <c r="T56" s="18">
        <v>1.007413025945425E-3</v>
      </c>
      <c r="U56" s="18">
        <v>-1.607062062248588E-3</v>
      </c>
      <c r="V56" s="18">
        <v>-1.392767066136003E-3</v>
      </c>
      <c r="W56" s="18">
        <v>1.826095511205494E-3</v>
      </c>
      <c r="X56" s="18">
        <v>1.2190620182082059E-3</v>
      </c>
      <c r="Y56" s="18">
        <v>1.001377357169986E-3</v>
      </c>
      <c r="Z56" s="18">
        <v>1.5017829718999559E-4</v>
      </c>
      <c r="AA56" s="18">
        <v>4.3862624443136161E-4</v>
      </c>
      <c r="AB56" s="18">
        <v>9.0242028818465769E-5</v>
      </c>
      <c r="AC56" s="18">
        <v>1.424021553248167E-3</v>
      </c>
      <c r="AD56" s="18">
        <v>-2.3872728925198321E-3</v>
      </c>
      <c r="AE56" s="18">
        <v>-1.2817968381568789E-3</v>
      </c>
      <c r="AF56" s="18">
        <v>1.8380827968940141E-3</v>
      </c>
      <c r="AG56" s="17">
        <v>4</v>
      </c>
      <c r="AH56" s="16">
        <v>3.0000000000000001E-3</v>
      </c>
      <c r="AI56" s="17">
        <v>75</v>
      </c>
    </row>
    <row r="57" spans="1:35" x14ac:dyDescent="0.35">
      <c r="A57" s="27">
        <v>53</v>
      </c>
      <c r="B57" s="18">
        <v>1.0517809391021731</v>
      </c>
      <c r="C57" s="18">
        <v>0.6643492579460144</v>
      </c>
      <c r="D57" s="18">
        <v>0.28794685006141663</v>
      </c>
      <c r="E57" s="18">
        <v>0.25728002190589899</v>
      </c>
      <c r="F57" s="18">
        <v>3.4877917642006651E-5</v>
      </c>
      <c r="G57" s="18">
        <v>4.8433732445118949E-5</v>
      </c>
      <c r="H57" s="18">
        <v>9.5525952929165214E-5</v>
      </c>
      <c r="I57" s="18">
        <v>1.462915679439902E-4</v>
      </c>
      <c r="J57" s="18">
        <v>-7.0546499046031386E-5</v>
      </c>
      <c r="K57" s="18">
        <v>-3.1148572452366352E-4</v>
      </c>
      <c r="L57" s="18">
        <v>2.3846399562899021E-4</v>
      </c>
      <c r="M57" s="18">
        <v>5.8041245210915804E-4</v>
      </c>
      <c r="N57" s="18">
        <v>8.4883475210517645E-4</v>
      </c>
      <c r="O57" s="18">
        <v>-1.7215781554114071E-4</v>
      </c>
      <c r="P57" s="18">
        <v>-4.0091009577736259E-4</v>
      </c>
      <c r="Q57" s="18">
        <v>-2.0487948495429009E-4</v>
      </c>
      <c r="R57" s="18">
        <v>-1.04640587233007E-3</v>
      </c>
      <c r="S57" s="18">
        <v>-5.9566012350842357E-4</v>
      </c>
      <c r="T57" s="18">
        <v>-1.6341730952262881E-3</v>
      </c>
      <c r="U57" s="18">
        <v>-1.389436889439821E-3</v>
      </c>
      <c r="V57" s="18">
        <v>5.7589375501265749E-5</v>
      </c>
      <c r="W57" s="18">
        <v>5.7483057389617898E-6</v>
      </c>
      <c r="X57" s="18">
        <v>-9.5745763974264264E-4</v>
      </c>
      <c r="Y57" s="18">
        <v>-1.181478655780666E-4</v>
      </c>
      <c r="Z57" s="18">
        <v>-2.9317502048797911E-4</v>
      </c>
      <c r="AA57" s="18">
        <v>4.8549612984061241E-4</v>
      </c>
      <c r="AB57" s="18">
        <v>1.281806733459234E-3</v>
      </c>
      <c r="AC57" s="18">
        <v>-2.4599381722509861E-3</v>
      </c>
      <c r="AD57" s="18">
        <v>-3.2221889705397189E-4</v>
      </c>
      <c r="AE57" s="18">
        <v>1.344307791441679E-3</v>
      </c>
      <c r="AF57" s="18">
        <v>-2.9666867339983582E-4</v>
      </c>
      <c r="AG57" s="17">
        <v>4</v>
      </c>
      <c r="AH57" s="16">
        <v>3.0000000000000001E-3</v>
      </c>
      <c r="AI57" s="17">
        <v>76</v>
      </c>
    </row>
    <row r="58" spans="1:35" x14ac:dyDescent="0.35">
      <c r="A58" s="27">
        <v>54</v>
      </c>
      <c r="B58" s="18">
        <v>1.047266364097595</v>
      </c>
      <c r="C58" s="18">
        <v>0.65050572156906128</v>
      </c>
      <c r="D58" s="18">
        <v>0.27159643173217768</v>
      </c>
      <c r="E58" s="18">
        <v>0.22886721789836881</v>
      </c>
      <c r="F58" s="18">
        <v>3.0339959266711961E-5</v>
      </c>
      <c r="G58" s="18">
        <v>5.7674985146149993E-4</v>
      </c>
      <c r="H58" s="18">
        <v>-2.7019798289984459E-4</v>
      </c>
      <c r="I58" s="18">
        <v>4.8260283074341709E-4</v>
      </c>
      <c r="J58" s="18">
        <v>-2.7499918360263109E-4</v>
      </c>
      <c r="K58" s="18">
        <v>-7.9411058686673641E-4</v>
      </c>
      <c r="L58" s="18">
        <v>2.8488741372711962E-4</v>
      </c>
      <c r="M58" s="18">
        <v>-6.1676424229517579E-4</v>
      </c>
      <c r="N58" s="18">
        <v>2.232680708402768E-4</v>
      </c>
      <c r="O58" s="18">
        <v>3.0032062204554682E-4</v>
      </c>
      <c r="P58" s="18">
        <v>7.7819015132263303E-4</v>
      </c>
      <c r="Q58" s="18">
        <v>-8.6278427625074983E-4</v>
      </c>
      <c r="R58" s="18">
        <v>-1.293472829274833E-3</v>
      </c>
      <c r="S58" s="18">
        <v>-1.4525733422487969E-4</v>
      </c>
      <c r="T58" s="18">
        <v>5.7449127780273557E-4</v>
      </c>
      <c r="U58" s="18">
        <v>4.0880407323129481E-4</v>
      </c>
      <c r="V58" s="18">
        <v>-3.367926983628422E-4</v>
      </c>
      <c r="W58" s="18">
        <v>1.8591298721730709E-3</v>
      </c>
      <c r="X58" s="18">
        <v>2.025112044066191E-4</v>
      </c>
      <c r="Y58" s="18">
        <v>4.4112655450589949E-4</v>
      </c>
      <c r="Z58" s="18">
        <v>5.5457028793171048E-4</v>
      </c>
      <c r="AA58" s="18">
        <v>1.214206495205872E-4</v>
      </c>
      <c r="AB58" s="18">
        <v>-7.5818192271981388E-5</v>
      </c>
      <c r="AC58" s="18">
        <v>3.4735546796582639E-4</v>
      </c>
      <c r="AD58" s="18">
        <v>2.2696747910231352E-3</v>
      </c>
      <c r="AE58" s="18">
        <v>-2.9466906562447548E-3</v>
      </c>
      <c r="AF58" s="18">
        <v>-2.8283491265028719E-3</v>
      </c>
      <c r="AG58" s="17">
        <v>4</v>
      </c>
      <c r="AH58" s="16">
        <v>3.0000000000000001E-3</v>
      </c>
      <c r="AI58" s="17">
        <v>77</v>
      </c>
    </row>
    <row r="59" spans="1:35" x14ac:dyDescent="0.35">
      <c r="A59" s="27">
        <v>55</v>
      </c>
      <c r="B59" s="18">
        <v>1.1244252920150759</v>
      </c>
      <c r="C59" s="18">
        <v>0.74476367235183716</v>
      </c>
      <c r="D59" s="18">
        <v>0.4122869074344635</v>
      </c>
      <c r="E59" s="18">
        <v>0.34951451420784002</v>
      </c>
      <c r="F59" s="18">
        <v>4.3219371582381433E-4</v>
      </c>
      <c r="G59" s="18">
        <v>4.3086710502393538E-4</v>
      </c>
      <c r="H59" s="18">
        <v>2.3420520301442591E-4</v>
      </c>
      <c r="I59" s="18">
        <v>-5.9399259043857455E-4</v>
      </c>
      <c r="J59" s="18">
        <v>2.7601339388638729E-4</v>
      </c>
      <c r="K59" s="18">
        <v>-1.5792476187925791E-4</v>
      </c>
      <c r="L59" s="18">
        <v>-2.1067781199235469E-4</v>
      </c>
      <c r="M59" s="18">
        <v>1.507525012129918E-4</v>
      </c>
      <c r="N59" s="18">
        <v>-2.8527333051897591E-4</v>
      </c>
      <c r="O59" s="18">
        <v>-1.022826181724668E-3</v>
      </c>
      <c r="P59" s="18">
        <v>-8.8258512550964952E-4</v>
      </c>
      <c r="Q59" s="18">
        <v>-1.28480649436824E-4</v>
      </c>
      <c r="R59" s="18">
        <v>-6.4336857758462429E-4</v>
      </c>
      <c r="S59" s="18">
        <v>1.454884535633028E-3</v>
      </c>
      <c r="T59" s="18">
        <v>-1.0343237081542609E-3</v>
      </c>
      <c r="U59" s="18">
        <v>2.4534642579965288E-4</v>
      </c>
      <c r="V59" s="18">
        <v>-5.141318979440257E-6</v>
      </c>
      <c r="W59" s="18">
        <v>1.046969089657068E-3</v>
      </c>
      <c r="X59" s="18">
        <v>-2.8942304197698832E-4</v>
      </c>
      <c r="Y59" s="18">
        <v>-1.8548161024227741E-3</v>
      </c>
      <c r="Z59" s="18">
        <v>-1.020708819851279E-3</v>
      </c>
      <c r="AA59" s="18">
        <v>-1.6664403956383471E-3</v>
      </c>
      <c r="AB59" s="18">
        <v>-8.698594756424427E-4</v>
      </c>
      <c r="AC59" s="18">
        <v>2.8833083342760801E-3</v>
      </c>
      <c r="AD59" s="18">
        <v>-5.2231887821108103E-4</v>
      </c>
      <c r="AE59" s="18">
        <v>1.941679860465229E-3</v>
      </c>
      <c r="AF59" s="18">
        <v>-1.8916875123977659E-3</v>
      </c>
      <c r="AG59" s="17">
        <v>4</v>
      </c>
      <c r="AH59" s="16">
        <v>3.0000000000000001E-3</v>
      </c>
      <c r="AI59" s="17">
        <v>78</v>
      </c>
    </row>
    <row r="60" spans="1:35" x14ac:dyDescent="0.35">
      <c r="A60" s="27">
        <v>56</v>
      </c>
      <c r="B60" s="18">
        <v>1.0580228567123411</v>
      </c>
      <c r="C60" s="18">
        <v>0.67893701791763306</v>
      </c>
      <c r="D60" s="18">
        <v>0.3282666802406311</v>
      </c>
      <c r="E60" s="18">
        <v>0.29445883631706238</v>
      </c>
      <c r="F60" s="18">
        <v>7.3763314867392182E-4</v>
      </c>
      <c r="G60" s="18">
        <v>5.6955206673592329E-4</v>
      </c>
      <c r="H60" s="18">
        <v>-1.355621934635565E-4</v>
      </c>
      <c r="I60" s="18">
        <v>5.9810001403093338E-4</v>
      </c>
      <c r="J60" s="18">
        <v>2.1761792595498261E-4</v>
      </c>
      <c r="K60" s="18">
        <v>-9.5871204393915832E-5</v>
      </c>
      <c r="L60" s="18">
        <v>-3.2388244289904827E-4</v>
      </c>
      <c r="M60" s="18">
        <v>-7.1072165155783296E-4</v>
      </c>
      <c r="N60" s="18">
        <v>-4.6739043318666518E-4</v>
      </c>
      <c r="O60" s="18">
        <v>7.5837556505575776E-4</v>
      </c>
      <c r="P60" s="18">
        <v>4.698057309724391E-4</v>
      </c>
      <c r="Q60" s="18">
        <v>1.9195303320884699E-4</v>
      </c>
      <c r="R60" s="18">
        <v>1.038537244312465E-3</v>
      </c>
      <c r="S60" s="18">
        <v>-5.9051974676549435E-4</v>
      </c>
      <c r="T60" s="18">
        <v>1.4313848223537211E-3</v>
      </c>
      <c r="U60" s="18">
        <v>9.3823275528848171E-4</v>
      </c>
      <c r="V60" s="18">
        <v>-6.1905484471935779E-5</v>
      </c>
      <c r="W60" s="18">
        <v>-1.779051264747977E-3</v>
      </c>
      <c r="X60" s="18">
        <v>1.058481982909143E-3</v>
      </c>
      <c r="Y60" s="18">
        <v>-1.884387922473252E-3</v>
      </c>
      <c r="Z60" s="18">
        <v>9.8031887318938971E-4</v>
      </c>
      <c r="AA60" s="18">
        <v>9.9711911752820015E-4</v>
      </c>
      <c r="AB60" s="18">
        <v>-1.737378654070199E-3</v>
      </c>
      <c r="AC60" s="18">
        <v>2.1601109765470028E-3</v>
      </c>
      <c r="AD60" s="18">
        <v>3.5715734702534968E-4</v>
      </c>
      <c r="AE60" s="18">
        <v>-2.8403304168023169E-4</v>
      </c>
      <c r="AF60" s="18">
        <v>2.1399047691375022E-3</v>
      </c>
      <c r="AG60" s="17">
        <v>4</v>
      </c>
      <c r="AH60" s="16">
        <v>3.0000000000000001E-3</v>
      </c>
      <c r="AI60" s="17">
        <v>79</v>
      </c>
    </row>
    <row r="61" spans="1:35" x14ac:dyDescent="0.35">
      <c r="A61" s="27">
        <v>57</v>
      </c>
      <c r="B61" s="18">
        <v>1.063095331192017</v>
      </c>
      <c r="C61" s="18">
        <v>0.68987256288528442</v>
      </c>
      <c r="D61" s="18">
        <v>0.35094112157821661</v>
      </c>
      <c r="E61" s="18">
        <v>0.32814681529998779</v>
      </c>
      <c r="F61" s="18">
        <v>4.9108348321169615E-4</v>
      </c>
      <c r="G61" s="18">
        <v>7.3008588515222073E-5</v>
      </c>
      <c r="H61" s="18">
        <v>-1.3732883985539959E-7</v>
      </c>
      <c r="I61" s="18">
        <v>-1.5977732255123561E-4</v>
      </c>
      <c r="J61" s="18">
        <v>-1.2723062536679211E-4</v>
      </c>
      <c r="K61" s="18">
        <v>7.9708360135555267E-4</v>
      </c>
      <c r="L61" s="18">
        <v>-1.0506935359444471E-4</v>
      </c>
      <c r="M61" s="18">
        <v>7.3272545705549419E-5</v>
      </c>
      <c r="N61" s="18">
        <v>3.0725784654350718E-6</v>
      </c>
      <c r="O61" s="18">
        <v>-1.2765824794769289E-3</v>
      </c>
      <c r="P61" s="18">
        <v>-4.9660837976261973E-4</v>
      </c>
      <c r="Q61" s="18">
        <v>-1.5008481568656859E-4</v>
      </c>
      <c r="R61" s="18">
        <v>7.8724656486883759E-4</v>
      </c>
      <c r="S61" s="18">
        <v>-1.8681389337871221E-4</v>
      </c>
      <c r="T61" s="18">
        <v>-9.1872044140473008E-4</v>
      </c>
      <c r="U61" s="18">
        <v>1.148571958765388E-3</v>
      </c>
      <c r="V61" s="18">
        <v>1.4736294979229569E-3</v>
      </c>
      <c r="W61" s="18">
        <v>-3.7555786548182368E-5</v>
      </c>
      <c r="X61" s="18">
        <v>3.8673586095683282E-4</v>
      </c>
      <c r="Y61" s="18">
        <v>-4.8722571227699518E-4</v>
      </c>
      <c r="Z61" s="18">
        <v>-5.6026107631623745E-4</v>
      </c>
      <c r="AA61" s="18">
        <v>-3.4519913606345648E-4</v>
      </c>
      <c r="AB61" s="18">
        <v>1.1898324592038989E-3</v>
      </c>
      <c r="AC61" s="18">
        <v>2.5026625953614712E-3</v>
      </c>
      <c r="AD61" s="18">
        <v>1.7713252454996109E-3</v>
      </c>
      <c r="AE61" s="18">
        <v>2.7234337758272891E-3</v>
      </c>
      <c r="AF61" s="18">
        <v>-1.9609078299254179E-3</v>
      </c>
      <c r="AG61" s="17">
        <v>4</v>
      </c>
      <c r="AH61" s="16">
        <v>3.0000000000000001E-3</v>
      </c>
      <c r="AI61" s="17">
        <v>80</v>
      </c>
    </row>
    <row r="62" spans="1:35" x14ac:dyDescent="0.35">
      <c r="A62" s="27">
        <v>58</v>
      </c>
      <c r="B62" s="18">
        <v>1.188392281532288</v>
      </c>
      <c r="C62" s="18">
        <v>0.82063388824462891</v>
      </c>
      <c r="D62" s="18">
        <v>0.52548027038574219</v>
      </c>
      <c r="E62" s="18">
        <v>0.43821215629577642</v>
      </c>
      <c r="F62" s="18">
        <v>0.14957369863986969</v>
      </c>
      <c r="G62" s="18">
        <v>3.6327412817627192E-3</v>
      </c>
      <c r="H62" s="18">
        <v>7.5619347626343369E-5</v>
      </c>
      <c r="I62" s="18">
        <v>2.13342864299193E-4</v>
      </c>
      <c r="J62" s="18">
        <v>3.4657769720070059E-4</v>
      </c>
      <c r="K62" s="18">
        <v>1.0034047299996021E-3</v>
      </c>
      <c r="L62" s="18">
        <v>2.8086855309084061E-5</v>
      </c>
      <c r="M62" s="18">
        <v>-1.11001318146009E-4</v>
      </c>
      <c r="N62" s="18">
        <v>1.788384834071621E-4</v>
      </c>
      <c r="O62" s="18">
        <v>-2.7883733855560422E-4</v>
      </c>
      <c r="P62" s="18">
        <v>1.786555221769959E-4</v>
      </c>
      <c r="Q62" s="18">
        <v>8.6167083281907253E-6</v>
      </c>
      <c r="R62" s="18">
        <v>5.1172106759622693E-4</v>
      </c>
      <c r="S62" s="18">
        <v>-2.7924534515477722E-4</v>
      </c>
      <c r="T62" s="18">
        <v>-1.5711133892182261E-4</v>
      </c>
      <c r="U62" s="18">
        <v>-1.3408806989900771E-4</v>
      </c>
      <c r="V62" s="18">
        <v>-4.2726722313091159E-4</v>
      </c>
      <c r="W62" s="18">
        <v>-1.3284108717925849E-4</v>
      </c>
      <c r="X62" s="18">
        <v>4.7621528210584067E-5</v>
      </c>
      <c r="Y62" s="18">
        <v>1.2490480439737439E-3</v>
      </c>
      <c r="Z62" s="18">
        <v>1.241797697730362E-3</v>
      </c>
      <c r="AA62" s="18">
        <v>-2.0473783370107408E-3</v>
      </c>
      <c r="AB62" s="18">
        <v>1.0344723705202341E-3</v>
      </c>
      <c r="AC62" s="18">
        <v>-4.1764407797018073E-5</v>
      </c>
      <c r="AD62" s="18">
        <v>-1.6529529821127651E-3</v>
      </c>
      <c r="AE62" s="18">
        <v>-7.4453407432883978E-4</v>
      </c>
      <c r="AF62" s="18">
        <v>1.349958591163158E-3</v>
      </c>
      <c r="AG62" s="17">
        <v>5</v>
      </c>
      <c r="AH62" s="16">
        <v>4.0000000000000001E-3</v>
      </c>
      <c r="AI62" s="17">
        <v>48</v>
      </c>
    </row>
    <row r="63" spans="1:35" x14ac:dyDescent="0.35">
      <c r="A63" s="27">
        <v>59</v>
      </c>
      <c r="B63" s="18">
        <v>1.059468626976013</v>
      </c>
      <c r="C63" s="18">
        <v>0.66556882858276367</v>
      </c>
      <c r="D63" s="18">
        <v>0.30559945106506348</v>
      </c>
      <c r="E63" s="18">
        <v>0.28392854332923889</v>
      </c>
      <c r="F63" s="18">
        <v>1.1485547292977569E-3</v>
      </c>
      <c r="G63" s="18">
        <v>-5.7190062943845987E-4</v>
      </c>
      <c r="H63" s="18">
        <v>-2.9074656777083868E-4</v>
      </c>
      <c r="I63" s="18">
        <v>-3.2974444911815231E-4</v>
      </c>
      <c r="J63" s="18">
        <v>1.002923163468949E-4</v>
      </c>
      <c r="K63" s="18">
        <v>5.2433396922424436E-4</v>
      </c>
      <c r="L63" s="18">
        <v>-1.8199811165686699E-4</v>
      </c>
      <c r="M63" s="18">
        <v>-1.6414406127296391E-4</v>
      </c>
      <c r="N63" s="18">
        <v>-1.322061172686517E-3</v>
      </c>
      <c r="O63" s="18">
        <v>5.9539260109886527E-4</v>
      </c>
      <c r="P63" s="18">
        <v>4.1128793964162469E-4</v>
      </c>
      <c r="Q63" s="18">
        <v>-4.5473346835933631E-4</v>
      </c>
      <c r="R63" s="18">
        <v>1.343376119621098E-3</v>
      </c>
      <c r="S63" s="18">
        <v>1.8991059623658659E-3</v>
      </c>
      <c r="T63" s="18">
        <v>6.0073536587879062E-4</v>
      </c>
      <c r="U63" s="18">
        <v>1.395689323544502E-4</v>
      </c>
      <c r="V63" s="18">
        <v>1.1349396081641321E-3</v>
      </c>
      <c r="W63" s="18">
        <v>-7.5356889283284545E-4</v>
      </c>
      <c r="X63" s="18">
        <v>1.6376246639993039E-4</v>
      </c>
      <c r="Y63" s="18">
        <v>3.049929509870708E-4</v>
      </c>
      <c r="Z63" s="18">
        <v>1.3258933322504161E-3</v>
      </c>
      <c r="AA63" s="18">
        <v>8.4181672718841583E-5</v>
      </c>
      <c r="AB63" s="18">
        <v>1.5038115670904519E-3</v>
      </c>
      <c r="AC63" s="18">
        <v>-1.374067272990942E-3</v>
      </c>
      <c r="AD63" s="18">
        <v>-2.3478867951780562E-3</v>
      </c>
      <c r="AE63" s="18">
        <v>-1.267683692276478E-3</v>
      </c>
      <c r="AF63" s="18">
        <v>-2.1387974265962839E-3</v>
      </c>
      <c r="AG63" s="17">
        <v>4</v>
      </c>
      <c r="AH63" s="16">
        <v>3.0000000000000001E-3</v>
      </c>
      <c r="AI63" s="17">
        <v>81</v>
      </c>
    </row>
    <row r="64" spans="1:35" x14ac:dyDescent="0.35">
      <c r="A64" s="27">
        <v>60</v>
      </c>
      <c r="B64" s="18">
        <v>1.3496102094650271</v>
      </c>
      <c r="C64" s="18">
        <v>0.97266292572021484</v>
      </c>
      <c r="D64" s="18">
        <v>0.70366626977920532</v>
      </c>
      <c r="E64" s="18">
        <v>0.56124043464660645</v>
      </c>
      <c r="F64" s="18">
        <v>0.38662117719650269</v>
      </c>
      <c r="G64" s="18">
        <v>0.23936463892459869</v>
      </c>
      <c r="H64" s="18">
        <v>-5.4594270295638134E-6</v>
      </c>
      <c r="I64" s="18">
        <v>5.5424985475838184E-4</v>
      </c>
      <c r="J64" s="18">
        <v>2.8034191927872598E-4</v>
      </c>
      <c r="K64" s="18">
        <v>8.1779190804809332E-4</v>
      </c>
      <c r="L64" s="18">
        <v>1.934234605869278E-4</v>
      </c>
      <c r="M64" s="18">
        <v>3.2163577270694082E-4</v>
      </c>
      <c r="N64" s="18">
        <v>3.2555716461502021E-4</v>
      </c>
      <c r="O64" s="18">
        <v>5.7036371435970068E-4</v>
      </c>
      <c r="P64" s="18">
        <v>-1.6647801385261121E-4</v>
      </c>
      <c r="Q64" s="18">
        <v>9.9152745679020882E-4</v>
      </c>
      <c r="R64" s="18">
        <v>1.082153408788145E-3</v>
      </c>
      <c r="S64" s="18">
        <v>-5.3066137479618192E-4</v>
      </c>
      <c r="T64" s="18">
        <v>-1.2228066043462599E-4</v>
      </c>
      <c r="U64" s="18">
        <v>-1.3137403875589371E-3</v>
      </c>
      <c r="V64" s="18">
        <v>1.3497774489223959E-3</v>
      </c>
      <c r="W64" s="18">
        <v>1.846558297984302E-4</v>
      </c>
      <c r="X64" s="18">
        <v>-4.1604513535276061E-4</v>
      </c>
      <c r="Y64" s="18">
        <v>-8.710903930477798E-4</v>
      </c>
      <c r="Z64" s="18">
        <v>-8.5059157572686672E-4</v>
      </c>
      <c r="AA64" s="18">
        <v>-5.0623319111764431E-4</v>
      </c>
      <c r="AB64" s="18">
        <v>3.8802280323579907E-4</v>
      </c>
      <c r="AC64" s="18">
        <v>-9.6121215028688312E-4</v>
      </c>
      <c r="AD64" s="18">
        <v>-5.9195427456870675E-4</v>
      </c>
      <c r="AE64" s="18">
        <v>4.3187850678805262E-5</v>
      </c>
      <c r="AF64" s="18">
        <v>1.6958245541900401E-3</v>
      </c>
      <c r="AG64" s="17">
        <v>6</v>
      </c>
      <c r="AH64" s="16">
        <v>5.0000000000000001E-3</v>
      </c>
      <c r="AI64" s="17">
        <v>34</v>
      </c>
    </row>
    <row r="65" spans="1:35" x14ac:dyDescent="0.35">
      <c r="A65" s="27">
        <v>61</v>
      </c>
      <c r="B65" s="18">
        <v>1.0855188369750981</v>
      </c>
      <c r="C65" s="18">
        <v>0.73861104249954224</v>
      </c>
      <c r="D65" s="18">
        <v>0.45607262849807739</v>
      </c>
      <c r="E65" s="18">
        <v>0.41183149814605707</v>
      </c>
      <c r="F65" s="18">
        <v>0.16150769591331479</v>
      </c>
      <c r="G65" s="18">
        <v>0.1270532310009003</v>
      </c>
      <c r="H65" s="18">
        <v>8.1050753593444824E-2</v>
      </c>
      <c r="I65" s="18">
        <v>2.6067367289215331E-3</v>
      </c>
      <c r="J65" s="18">
        <v>-2.3671907547395679E-4</v>
      </c>
      <c r="K65" s="18">
        <v>-2.12188097066246E-4</v>
      </c>
      <c r="L65" s="18">
        <v>2.9843821539543569E-4</v>
      </c>
      <c r="M65" s="18">
        <v>3.0764180701226001E-4</v>
      </c>
      <c r="N65" s="18">
        <v>2.583855297416449E-3</v>
      </c>
      <c r="O65" s="18">
        <v>5.9443339705467224E-4</v>
      </c>
      <c r="P65" s="18">
        <v>1.034693443216383E-3</v>
      </c>
      <c r="Q65" s="18">
        <v>6.6165218595415354E-4</v>
      </c>
      <c r="R65" s="18">
        <v>-7.1098335320129991E-4</v>
      </c>
      <c r="S65" s="18">
        <v>-1.550253015011549E-3</v>
      </c>
      <c r="T65" s="18">
        <v>-1.4222318714018911E-4</v>
      </c>
      <c r="U65" s="18">
        <v>3.5286953789182007E-5</v>
      </c>
      <c r="V65" s="18">
        <v>1.564720761962235E-3</v>
      </c>
      <c r="W65" s="18">
        <v>-1.260420773178339E-3</v>
      </c>
      <c r="X65" s="18">
        <v>5.3046102402731776E-4</v>
      </c>
      <c r="Y65" s="18">
        <v>-6.3081772532314062E-4</v>
      </c>
      <c r="Z65" s="18">
        <v>1.173193566501141E-3</v>
      </c>
      <c r="AA65" s="18">
        <v>-3.3781284582801158E-4</v>
      </c>
      <c r="AB65" s="18">
        <v>-8.80494735611137E-6</v>
      </c>
      <c r="AC65" s="18">
        <v>-1.322527998127043E-3</v>
      </c>
      <c r="AD65" s="18">
        <v>1.188698806799948E-3</v>
      </c>
      <c r="AE65" s="18">
        <v>-1.9623618572950359E-3</v>
      </c>
      <c r="AF65" s="18">
        <v>-4.0806005708873272E-3</v>
      </c>
      <c r="AG65" s="17">
        <v>7</v>
      </c>
      <c r="AH65" s="16">
        <v>6.0000000000000001E-3</v>
      </c>
      <c r="AI65" s="17">
        <v>30</v>
      </c>
    </row>
    <row r="66" spans="1:35" x14ac:dyDescent="0.35">
      <c r="A66" s="27">
        <v>62</v>
      </c>
      <c r="B66" s="18">
        <v>1.1989598274230959</v>
      </c>
      <c r="C66" s="18">
        <v>0.85036736726760864</v>
      </c>
      <c r="D66" s="18">
        <v>0.58774679899215698</v>
      </c>
      <c r="E66" s="18">
        <v>0.5395393967628479</v>
      </c>
      <c r="F66" s="18">
        <v>0.4140394926071167</v>
      </c>
      <c r="G66" s="18">
        <v>0.35967442393302917</v>
      </c>
      <c r="H66" s="18">
        <v>0.25560849905014038</v>
      </c>
      <c r="I66" s="18">
        <v>0.26536619663238531</v>
      </c>
      <c r="J66" s="18">
        <v>0.200861781835556</v>
      </c>
      <c r="K66" s="18">
        <v>0.2149577587842941</v>
      </c>
      <c r="L66" s="18">
        <v>0.1625862121582031</v>
      </c>
      <c r="M66" s="18">
        <v>0.21258564293384549</v>
      </c>
      <c r="N66" s="18">
        <v>0.25398039817810059</v>
      </c>
      <c r="O66" s="18">
        <v>0.26283502578735352</v>
      </c>
      <c r="P66" s="18">
        <v>0.17999488115310669</v>
      </c>
      <c r="Q66" s="18">
        <v>0.17218820750713351</v>
      </c>
      <c r="R66" s="18">
        <v>0.26889723539352423</v>
      </c>
      <c r="S66" s="18">
        <v>0.27228990197181702</v>
      </c>
      <c r="T66" s="18">
        <v>0.25766214728355408</v>
      </c>
      <c r="U66" s="18">
        <v>0.29358971118927002</v>
      </c>
      <c r="V66" s="18">
        <v>-2.3266619245987391E-4</v>
      </c>
      <c r="W66" s="18">
        <v>1.602488453499973E-3</v>
      </c>
      <c r="X66" s="18">
        <v>5.0160696264356375E-4</v>
      </c>
      <c r="Y66" s="18">
        <v>-6.1118137091398239E-4</v>
      </c>
      <c r="Z66" s="18">
        <v>1.1727757519111039E-3</v>
      </c>
      <c r="AA66" s="18">
        <v>-1.841953257098794E-3</v>
      </c>
      <c r="AB66" s="18">
        <v>-1.5360778197646141E-3</v>
      </c>
      <c r="AC66" s="18">
        <v>3.01677267998457E-3</v>
      </c>
      <c r="AD66" s="18">
        <v>1.2049406068399551E-3</v>
      </c>
      <c r="AE66" s="18">
        <v>2.3358205799013381E-3</v>
      </c>
      <c r="AF66" s="18">
        <v>-1.337460358627141E-3</v>
      </c>
      <c r="AG66" s="17">
        <v>20</v>
      </c>
      <c r="AH66" s="16">
        <v>1.9E-2</v>
      </c>
      <c r="AI66" s="17">
        <v>9</v>
      </c>
    </row>
    <row r="67" spans="1:35" x14ac:dyDescent="0.35">
      <c r="A67" s="27">
        <v>63</v>
      </c>
      <c r="B67" s="18">
        <v>1.0463836193084719</v>
      </c>
      <c r="C67" s="18">
        <v>0.66502439975738525</v>
      </c>
      <c r="D67" s="18">
        <v>0.31337606906890869</v>
      </c>
      <c r="E67" s="18">
        <v>0.26753690838813782</v>
      </c>
      <c r="F67" s="18">
        <v>2.822177717462182E-3</v>
      </c>
      <c r="G67" s="18">
        <v>1.9765317847486591E-4</v>
      </c>
      <c r="H67" s="18">
        <v>2.5523564545437688E-4</v>
      </c>
      <c r="I67" s="18">
        <v>-5.7501264382153749E-4</v>
      </c>
      <c r="J67" s="18">
        <v>-6.1135826399549842E-5</v>
      </c>
      <c r="K67" s="18">
        <v>3.2106376602314413E-4</v>
      </c>
      <c r="L67" s="18">
        <v>1.9969024288002399E-4</v>
      </c>
      <c r="M67" s="18">
        <v>4.593987250700593E-4</v>
      </c>
      <c r="N67" s="18">
        <v>5.6149833835661411E-4</v>
      </c>
      <c r="O67" s="18">
        <v>9.1145280748605728E-4</v>
      </c>
      <c r="P67" s="18">
        <v>7.8010011930018663E-4</v>
      </c>
      <c r="Q67" s="18">
        <v>1.149319432443008E-4</v>
      </c>
      <c r="R67" s="18">
        <v>-8.1784318899735808E-4</v>
      </c>
      <c r="S67" s="18">
        <v>1.023323275148869E-3</v>
      </c>
      <c r="T67" s="18">
        <v>-3.7530582631006842E-4</v>
      </c>
      <c r="U67" s="18">
        <v>1.2293020263314249E-3</v>
      </c>
      <c r="V67" s="18">
        <v>6.1973335687071085E-4</v>
      </c>
      <c r="W67" s="18">
        <v>-1.921049552038312E-3</v>
      </c>
      <c r="X67" s="18">
        <v>7.3413393693044782E-4</v>
      </c>
      <c r="Y67" s="18">
        <v>6.3394871540367603E-4</v>
      </c>
      <c r="Z67" s="18">
        <v>-1.379818189889193E-3</v>
      </c>
      <c r="AA67" s="18">
        <v>-2.0540461409837012E-3</v>
      </c>
      <c r="AB67" s="18">
        <v>-2.0254924893379211E-3</v>
      </c>
      <c r="AC67" s="18">
        <v>-4.7185272705974057E-5</v>
      </c>
      <c r="AD67" s="18">
        <v>3.7858719588257372E-4</v>
      </c>
      <c r="AE67" s="18">
        <v>-1.2610538396984339E-4</v>
      </c>
      <c r="AF67" s="18">
        <v>-2.0461434032768011E-3</v>
      </c>
      <c r="AG67" s="17">
        <v>4</v>
      </c>
      <c r="AH67" s="16">
        <v>3.0000000000000001E-3</v>
      </c>
      <c r="AI67" s="17">
        <v>82</v>
      </c>
    </row>
    <row r="68" spans="1:35" x14ac:dyDescent="0.35">
      <c r="A68" s="27">
        <v>64</v>
      </c>
      <c r="B68" s="18">
        <v>2.7771728038787842</v>
      </c>
      <c r="C68" s="18">
        <v>2.2997498512268071</v>
      </c>
      <c r="D68" s="18">
        <v>2.0361282825469971</v>
      </c>
      <c r="E68" s="18">
        <v>1.625182151794434</v>
      </c>
      <c r="F68" s="18">
        <v>1.70246958732605</v>
      </c>
      <c r="G68" s="18">
        <v>1.5847774744033809</v>
      </c>
      <c r="H68" s="18">
        <v>1.0919090509414671</v>
      </c>
      <c r="I68" s="18">
        <v>1.2051758766174321</v>
      </c>
      <c r="J68" s="18">
        <v>0.80541718006134033</v>
      </c>
      <c r="K68" s="18">
        <v>1.0125665664672849</v>
      </c>
      <c r="L68" s="18">
        <v>0.70022958517074585</v>
      </c>
      <c r="M68" s="18">
        <v>0.91373294591903687</v>
      </c>
      <c r="N68" s="18">
        <v>1.9716168753802781E-3</v>
      </c>
      <c r="O68" s="18">
        <v>-3.480639634290128E-6</v>
      </c>
      <c r="P68" s="18">
        <v>-5.8800354599952698E-4</v>
      </c>
      <c r="Q68" s="18">
        <v>8.6102911154739559E-5</v>
      </c>
      <c r="R68" s="18">
        <v>-5.30631048604846E-4</v>
      </c>
      <c r="S68" s="18">
        <v>-8.6333391664084047E-5</v>
      </c>
      <c r="T68" s="18">
        <v>-5.6659139227122068E-4</v>
      </c>
      <c r="U68" s="18">
        <v>3.5024908720515668E-4</v>
      </c>
      <c r="V68" s="18">
        <v>-1.5619897749274969E-3</v>
      </c>
      <c r="W68" s="18">
        <v>3.4839758882299071E-4</v>
      </c>
      <c r="X68" s="18">
        <v>-4.6963806380517781E-4</v>
      </c>
      <c r="Y68" s="18">
        <v>6.5404217457398772E-4</v>
      </c>
      <c r="Z68" s="18">
        <v>-9.07097477465868E-4</v>
      </c>
      <c r="AA68" s="18">
        <v>-9.8287221044301987E-4</v>
      </c>
      <c r="AB68" s="18">
        <v>1.4492586487904191E-3</v>
      </c>
      <c r="AC68" s="18">
        <v>1.1245122877880931E-3</v>
      </c>
      <c r="AD68" s="18">
        <v>-7.7684340067207813E-4</v>
      </c>
      <c r="AE68" s="18">
        <v>-1.074142172001302E-3</v>
      </c>
      <c r="AF68" s="18">
        <v>-7.5108947930857539E-4</v>
      </c>
      <c r="AG68" s="17">
        <v>12</v>
      </c>
      <c r="AH68" s="16">
        <v>1.0999999999999999E-2</v>
      </c>
      <c r="AI68" s="17">
        <v>20</v>
      </c>
    </row>
    <row r="69" spans="1:35" x14ac:dyDescent="0.35">
      <c r="A69" s="27">
        <v>65</v>
      </c>
      <c r="B69" s="18">
        <v>1.0472937822341919</v>
      </c>
      <c r="C69" s="18">
        <v>0.65628814697265625</v>
      </c>
      <c r="D69" s="18">
        <v>0.30542290210723883</v>
      </c>
      <c r="E69" s="18">
        <v>0.2917957603931427</v>
      </c>
      <c r="F69" s="18">
        <v>1.0154108749702571E-3</v>
      </c>
      <c r="G69" s="18">
        <v>1.6840170137584209E-3</v>
      </c>
      <c r="H69" s="18">
        <v>-1.5163411444518721E-4</v>
      </c>
      <c r="I69" s="18">
        <v>-3.4515408333390951E-4</v>
      </c>
      <c r="J69" s="18">
        <v>1.055238899425603E-4</v>
      </c>
      <c r="K69" s="18">
        <v>3.7143187364563351E-4</v>
      </c>
      <c r="L69" s="18">
        <v>-2.6506189897190779E-5</v>
      </c>
      <c r="M69" s="18">
        <v>-6.7730183945968747E-4</v>
      </c>
      <c r="N69" s="18">
        <v>5.4903514683246613E-4</v>
      </c>
      <c r="O69" s="18">
        <v>2.1376081276684999E-3</v>
      </c>
      <c r="P69" s="18">
        <v>6.363603170029819E-4</v>
      </c>
      <c r="Q69" s="18">
        <v>7.306835032068193E-4</v>
      </c>
      <c r="R69" s="18">
        <v>3.819246485363692E-4</v>
      </c>
      <c r="S69" s="18">
        <v>5.8775674551725388E-4</v>
      </c>
      <c r="T69" s="18">
        <v>4.6361511340364808E-4</v>
      </c>
      <c r="U69" s="18">
        <v>1.485250104451552E-4</v>
      </c>
      <c r="V69" s="18">
        <v>-1.2349165044724939E-3</v>
      </c>
      <c r="W69" s="18">
        <v>-6.4443207520525903E-5</v>
      </c>
      <c r="X69" s="18">
        <v>1.094009028747678E-3</v>
      </c>
      <c r="Y69" s="18">
        <v>9.1182644246146083E-4</v>
      </c>
      <c r="Z69" s="18">
        <v>5.9740821598097682E-4</v>
      </c>
      <c r="AA69" s="18">
        <v>2.0402679219841961E-3</v>
      </c>
      <c r="AB69" s="18">
        <v>-9.4422145048156381E-4</v>
      </c>
      <c r="AC69" s="18">
        <v>9.8215078469365835E-4</v>
      </c>
      <c r="AD69" s="18">
        <v>-1.134042860940099E-3</v>
      </c>
      <c r="AE69" s="18">
        <v>3.16778919659555E-3</v>
      </c>
      <c r="AF69" s="18">
        <v>1.532537513412535E-3</v>
      </c>
      <c r="AG69" s="17">
        <v>4</v>
      </c>
      <c r="AH69" s="16">
        <v>3.0000000000000001E-3</v>
      </c>
      <c r="AI69" s="17">
        <v>83</v>
      </c>
    </row>
    <row r="70" spans="1:35" x14ac:dyDescent="0.35">
      <c r="A70" s="27">
        <v>66</v>
      </c>
      <c r="B70" s="18">
        <v>1.0282033681869509</v>
      </c>
      <c r="C70" s="18">
        <v>0.6387677788734436</v>
      </c>
      <c r="D70" s="18">
        <v>0.27177029848098749</v>
      </c>
      <c r="E70" s="18">
        <v>0.26663154363632202</v>
      </c>
      <c r="F70" s="18">
        <v>6.5220388933084905E-5</v>
      </c>
      <c r="G70" s="18">
        <v>1.147878137999214E-4</v>
      </c>
      <c r="H70" s="18">
        <v>-1.1070691834902389E-4</v>
      </c>
      <c r="I70" s="18">
        <v>2.348961861571297E-4</v>
      </c>
      <c r="J70" s="18">
        <v>2.1488536731339991E-4</v>
      </c>
      <c r="K70" s="18">
        <v>4.190740582998842E-5</v>
      </c>
      <c r="L70" s="18">
        <v>1.418850297341123E-4</v>
      </c>
      <c r="M70" s="18">
        <v>5.9722992591559887E-4</v>
      </c>
      <c r="N70" s="18">
        <v>-4.2506138561293477E-4</v>
      </c>
      <c r="O70" s="18">
        <v>4.4942382373847067E-4</v>
      </c>
      <c r="P70" s="18">
        <v>3.8894711178727448E-4</v>
      </c>
      <c r="Q70" s="18">
        <v>9.9846256489399821E-5</v>
      </c>
      <c r="R70" s="18">
        <v>-2.4747298448346561E-4</v>
      </c>
      <c r="S70" s="18">
        <v>-1.4695733552798631E-3</v>
      </c>
      <c r="T70" s="18">
        <v>1.2185686500743029E-3</v>
      </c>
      <c r="U70" s="18">
        <v>1.2521488824859259E-3</v>
      </c>
      <c r="V70" s="18">
        <v>-1.1105347657576199E-3</v>
      </c>
      <c r="W70" s="18">
        <v>2.693439309950918E-4</v>
      </c>
      <c r="X70" s="18">
        <v>7.3051487561315298E-4</v>
      </c>
      <c r="Y70" s="18">
        <v>-1.1020866222679619E-3</v>
      </c>
      <c r="Z70" s="18">
        <v>-4.413815622683614E-4</v>
      </c>
      <c r="AA70" s="18">
        <v>-1.5219129272736609E-4</v>
      </c>
      <c r="AB70" s="18">
        <v>-1.0572178289294241E-3</v>
      </c>
      <c r="AC70" s="18">
        <v>-2.7169589884579182E-3</v>
      </c>
      <c r="AD70" s="18">
        <v>-2.3894126061350112E-3</v>
      </c>
      <c r="AE70" s="18">
        <v>-8.8002427946776152E-4</v>
      </c>
      <c r="AF70" s="18">
        <v>2.733092755079269E-3</v>
      </c>
      <c r="AG70" s="17">
        <v>4</v>
      </c>
      <c r="AH70" s="16">
        <v>3.0000000000000001E-3</v>
      </c>
      <c r="AI70" s="17">
        <v>84</v>
      </c>
    </row>
    <row r="71" spans="1:35" x14ac:dyDescent="0.35">
      <c r="A71" s="27">
        <v>67</v>
      </c>
      <c r="B71" s="18">
        <v>1.1348724365234379</v>
      </c>
      <c r="C71" s="18">
        <v>0.75284862518310547</v>
      </c>
      <c r="D71" s="18">
        <v>0.42991518974304199</v>
      </c>
      <c r="E71" s="18">
        <v>0.38713812828063959</v>
      </c>
      <c r="F71" s="18">
        <v>3.781861392781138E-3</v>
      </c>
      <c r="G71" s="18">
        <v>9.7447173902764916E-4</v>
      </c>
      <c r="H71" s="18">
        <v>7.1293943619821221E-5</v>
      </c>
      <c r="I71" s="18">
        <v>-1.73492546309717E-4</v>
      </c>
      <c r="J71" s="18">
        <v>2.087546999973711E-5</v>
      </c>
      <c r="K71" s="18">
        <v>-4.5950931962579489E-4</v>
      </c>
      <c r="L71" s="18">
        <v>1.11648827441968E-4</v>
      </c>
      <c r="M71" s="18">
        <v>-5.2323972340673208E-4</v>
      </c>
      <c r="N71" s="18">
        <v>3.0425068689510232E-4</v>
      </c>
      <c r="O71" s="18">
        <v>8.4681471344083548E-4</v>
      </c>
      <c r="P71" s="18">
        <v>-5.6339707225561142E-4</v>
      </c>
      <c r="Q71" s="18">
        <v>-7.7385426266118884E-4</v>
      </c>
      <c r="R71" s="18">
        <v>1.603265292942524E-3</v>
      </c>
      <c r="S71" s="18">
        <v>8.8139163563027978E-4</v>
      </c>
      <c r="T71" s="18">
        <v>1.4326532837003469E-3</v>
      </c>
      <c r="U71" s="18">
        <v>8.4353494457900524E-4</v>
      </c>
      <c r="V71" s="18">
        <v>-4.6196789480745792E-4</v>
      </c>
      <c r="W71" s="18">
        <v>-1.6885240329429509E-3</v>
      </c>
      <c r="X71" s="18">
        <v>1.0683749569579961E-3</v>
      </c>
      <c r="Y71" s="18">
        <v>9.4047858146950603E-4</v>
      </c>
      <c r="Z71" s="18">
        <v>-1.5380895638372749E-4</v>
      </c>
      <c r="AA71" s="18">
        <v>5.4449925664812326E-4</v>
      </c>
      <c r="AB71" s="18">
        <v>2.5010950048454111E-4</v>
      </c>
      <c r="AC71" s="18">
        <v>-1.170571078546345E-3</v>
      </c>
      <c r="AD71" s="18">
        <v>2.2232903575059029E-4</v>
      </c>
      <c r="AE71" s="18">
        <v>3.0268067494034771E-3</v>
      </c>
      <c r="AF71" s="18">
        <v>1.732241013087332E-3</v>
      </c>
      <c r="AG71" s="17">
        <v>4</v>
      </c>
      <c r="AH71" s="16">
        <v>3.0000000000000001E-3</v>
      </c>
      <c r="AI71" s="17">
        <v>85</v>
      </c>
    </row>
    <row r="72" spans="1:35" x14ac:dyDescent="0.35">
      <c r="A72" s="27">
        <v>68</v>
      </c>
      <c r="B72" s="18">
        <v>1.0366203784942629</v>
      </c>
      <c r="C72" s="18">
        <v>0.67658048868179321</v>
      </c>
      <c r="D72" s="18">
        <v>0.3552108108997345</v>
      </c>
      <c r="E72" s="18">
        <v>0.28109818696975708</v>
      </c>
      <c r="F72" s="18">
        <v>1.0810827370733021E-3</v>
      </c>
      <c r="G72" s="18">
        <v>3.0800086096860468E-4</v>
      </c>
      <c r="H72" s="18">
        <v>-2.387417480349541E-4</v>
      </c>
      <c r="I72" s="18">
        <v>-2.156696864403784E-4</v>
      </c>
      <c r="J72" s="18">
        <v>-8.6615131067446782E-7</v>
      </c>
      <c r="K72" s="18">
        <v>-5.6321982992812991E-4</v>
      </c>
      <c r="L72" s="18">
        <v>-2.748768893070519E-4</v>
      </c>
      <c r="M72" s="18">
        <v>-4.6031989040784538E-4</v>
      </c>
      <c r="N72" s="18">
        <v>-8.9039234444499016E-4</v>
      </c>
      <c r="O72" s="18">
        <v>-5.053470958955586E-4</v>
      </c>
      <c r="P72" s="18">
        <v>-7.3481135768815875E-4</v>
      </c>
      <c r="Q72" s="18">
        <v>-4.5207946095615631E-4</v>
      </c>
      <c r="R72" s="18">
        <v>-2.7678624610416591E-4</v>
      </c>
      <c r="S72" s="18">
        <v>8.371544536203146E-4</v>
      </c>
      <c r="T72" s="18">
        <v>1.184918684884906E-3</v>
      </c>
      <c r="U72" s="18">
        <v>-1.429311116226017E-3</v>
      </c>
      <c r="V72" s="18">
        <v>-2.226100186817348E-4</v>
      </c>
      <c r="W72" s="18">
        <v>-2.0759080071002241E-3</v>
      </c>
      <c r="X72" s="18">
        <v>-1.630037557333708E-3</v>
      </c>
      <c r="Y72" s="18">
        <v>-1.7735681030899291E-3</v>
      </c>
      <c r="Z72" s="18">
        <v>-2.6718518347479398E-4</v>
      </c>
      <c r="AA72" s="18">
        <v>1.651103724725544E-3</v>
      </c>
      <c r="AB72" s="18">
        <v>2.9673913377337158E-4</v>
      </c>
      <c r="AC72" s="18">
        <v>-1.7949695466086271E-3</v>
      </c>
      <c r="AD72" s="18">
        <v>-2.901834668591619E-3</v>
      </c>
      <c r="AE72" s="18">
        <v>7.9741788795217872E-4</v>
      </c>
      <c r="AF72" s="18">
        <v>2.7814283967018132E-3</v>
      </c>
      <c r="AG72" s="17">
        <v>4</v>
      </c>
      <c r="AH72" s="16">
        <v>3.0000000000000001E-3</v>
      </c>
      <c r="AI72" s="17">
        <v>86</v>
      </c>
    </row>
    <row r="73" spans="1:35" x14ac:dyDescent="0.35">
      <c r="A73" s="27">
        <v>69</v>
      </c>
      <c r="B73" s="18">
        <v>1.3606724739074709</v>
      </c>
      <c r="C73" s="18">
        <v>1.000924944877625</v>
      </c>
      <c r="D73" s="18">
        <v>0.70410716533660889</v>
      </c>
      <c r="E73" s="18">
        <v>0.5991789698600769</v>
      </c>
      <c r="F73" s="18">
        <v>0.19048437476158139</v>
      </c>
      <c r="G73" s="18">
        <v>1.052370760589838E-3</v>
      </c>
      <c r="H73" s="18">
        <v>9.6188370662275702E-5</v>
      </c>
      <c r="I73" s="18">
        <v>-1.6405126370955261E-4</v>
      </c>
      <c r="J73" s="18">
        <v>-3.1434392440132802E-4</v>
      </c>
      <c r="K73" s="18">
        <v>6.2042451463639736E-4</v>
      </c>
      <c r="L73" s="18">
        <v>-1.9985900144092741E-4</v>
      </c>
      <c r="M73" s="18">
        <v>-1.6877136658877129E-4</v>
      </c>
      <c r="N73" s="18">
        <v>-5.248601664789021E-4</v>
      </c>
      <c r="O73" s="18">
        <v>1.2339785462245351E-4</v>
      </c>
      <c r="P73" s="18">
        <v>1.4393019955605271E-4</v>
      </c>
      <c r="Q73" s="18">
        <v>5.4253422422334552E-4</v>
      </c>
      <c r="R73" s="18">
        <v>-1.9653155468404289E-3</v>
      </c>
      <c r="S73" s="18">
        <v>1.0147407010663299E-4</v>
      </c>
      <c r="T73" s="18">
        <v>-3.3006840385496622E-4</v>
      </c>
      <c r="U73" s="18">
        <v>-1.7632436938583851E-3</v>
      </c>
      <c r="V73" s="18">
        <v>3.4797005355358118E-4</v>
      </c>
      <c r="W73" s="18">
        <v>-3.5523451515473431E-4</v>
      </c>
      <c r="X73" s="18">
        <v>1.0503327939659359E-3</v>
      </c>
      <c r="Y73" s="18">
        <v>-7.2763202479109168E-4</v>
      </c>
      <c r="Z73" s="18">
        <v>1.3833957491442559E-3</v>
      </c>
      <c r="AA73" s="18">
        <v>-2.246054646093398E-5</v>
      </c>
      <c r="AB73" s="18">
        <v>-7.3899514973163605E-4</v>
      </c>
      <c r="AC73" s="18">
        <v>2.9927282594144339E-4</v>
      </c>
      <c r="AD73" s="18">
        <v>2.9299119487404819E-3</v>
      </c>
      <c r="AE73" s="18">
        <v>2.1304716356098652E-3</v>
      </c>
      <c r="AF73" s="18">
        <v>-1.598830102011561E-3</v>
      </c>
      <c r="AG73" s="17">
        <v>5</v>
      </c>
      <c r="AH73" s="16">
        <v>4.0000000000000001E-3</v>
      </c>
      <c r="AI73" s="17">
        <v>49</v>
      </c>
    </row>
    <row r="74" spans="1:35" x14ac:dyDescent="0.35">
      <c r="A74" s="27">
        <v>70</v>
      </c>
      <c r="B74" s="18">
        <v>1.5355138778686519</v>
      </c>
      <c r="C74" s="18">
        <v>1.137268543243408</v>
      </c>
      <c r="D74" s="18">
        <v>0.83696997165679932</v>
      </c>
      <c r="E74" s="18">
        <v>0.81733876466751099</v>
      </c>
      <c r="F74" s="18">
        <v>0.51825767755508423</v>
      </c>
      <c r="G74" s="18">
        <v>0.40836164355278021</v>
      </c>
      <c r="H74" s="18">
        <v>0.3124028742313385</v>
      </c>
      <c r="I74" s="18">
        <v>0.31622967123985291</v>
      </c>
      <c r="J74" s="18">
        <v>0.25679165124893188</v>
      </c>
      <c r="K74" s="18">
        <v>0.3178216814994812</v>
      </c>
      <c r="L74" s="18">
        <v>0.23885202407836911</v>
      </c>
      <c r="M74" s="18">
        <v>0.27034750580787659</v>
      </c>
      <c r="N74" s="18">
        <v>0.30133461952209473</v>
      </c>
      <c r="O74" s="18">
        <v>0.3343251645565033</v>
      </c>
      <c r="P74" s="18">
        <v>0.29263511300086981</v>
      </c>
      <c r="Q74" s="18">
        <v>0.28483498096466059</v>
      </c>
      <c r="R74" s="18">
        <v>0.35410970449447632</v>
      </c>
      <c r="S74" s="18">
        <v>0.3655036985874176</v>
      </c>
      <c r="T74" s="18">
        <v>0.36586865782737732</v>
      </c>
      <c r="U74" s="18">
        <v>0.27653384208679199</v>
      </c>
      <c r="V74" s="18">
        <v>0.33002728223800659</v>
      </c>
      <c r="W74" s="18">
        <v>0.26492848992347717</v>
      </c>
      <c r="X74" s="18">
        <v>0.33696648478508001</v>
      </c>
      <c r="Y74" s="18">
        <v>0.33219984173774719</v>
      </c>
      <c r="Z74" s="18">
        <v>0.26349812746047968</v>
      </c>
      <c r="AA74" s="18">
        <v>0.32330018281936651</v>
      </c>
      <c r="AB74" s="18">
        <v>0.28684860467910772</v>
      </c>
      <c r="AC74" s="18">
        <v>0.31363832950592041</v>
      </c>
      <c r="AD74" s="18">
        <v>0.3437405526638031</v>
      </c>
      <c r="AE74" s="18">
        <v>0.29767006635665888</v>
      </c>
      <c r="AF74" s="18">
        <v>0.29089879989624018</v>
      </c>
      <c r="AG74" s="17">
        <v>31</v>
      </c>
      <c r="AH74" s="16">
        <v>0.03</v>
      </c>
      <c r="AI74" s="17">
        <v>4</v>
      </c>
    </row>
    <row r="75" spans="1:35" x14ac:dyDescent="0.35">
      <c r="A75" s="27">
        <v>71</v>
      </c>
      <c r="B75" s="18">
        <v>1.130088686943054</v>
      </c>
      <c r="C75" s="18">
        <v>0.76777130365371704</v>
      </c>
      <c r="D75" s="18">
        <v>0.46392393112182623</v>
      </c>
      <c r="E75" s="18">
        <v>0.4438936710357666</v>
      </c>
      <c r="F75" s="18">
        <v>0.1573605686426163</v>
      </c>
      <c r="G75" s="18">
        <v>5.3028065711259842E-2</v>
      </c>
      <c r="H75" s="18">
        <v>5.118938279338181E-4</v>
      </c>
      <c r="I75" s="18">
        <v>-5.5290164891630411E-4</v>
      </c>
      <c r="J75" s="18">
        <v>-7.8537632361985743E-5</v>
      </c>
      <c r="K75" s="18">
        <v>4.8969034105539322E-4</v>
      </c>
      <c r="L75" s="18">
        <v>-2.5971527793444688E-4</v>
      </c>
      <c r="M75" s="18">
        <v>-3.2817176543176169E-4</v>
      </c>
      <c r="N75" s="18">
        <v>9.3957950593903661E-4</v>
      </c>
      <c r="O75" s="18">
        <v>1.073124469257891E-3</v>
      </c>
      <c r="P75" s="18">
        <v>-5.9474929003044963E-4</v>
      </c>
      <c r="Q75" s="18">
        <v>-9.0557575458660722E-4</v>
      </c>
      <c r="R75" s="18">
        <v>3.3859637915156782E-4</v>
      </c>
      <c r="S75" s="18">
        <v>5.1729461119975888E-5</v>
      </c>
      <c r="T75" s="18">
        <v>-1.6449475879198872E-5</v>
      </c>
      <c r="U75" s="18">
        <v>-2.9370473930612212E-4</v>
      </c>
      <c r="V75" s="18">
        <v>-1.6446512017864731E-4</v>
      </c>
      <c r="W75" s="18">
        <v>-2.6784083456732333E-4</v>
      </c>
      <c r="X75" s="18">
        <v>8.472556946799159E-4</v>
      </c>
      <c r="Y75" s="18">
        <v>-4.2619329178705812E-4</v>
      </c>
      <c r="Z75" s="18">
        <v>8.739581098780036E-4</v>
      </c>
      <c r="AA75" s="18">
        <v>9.2165144451428205E-5</v>
      </c>
      <c r="AB75" s="18">
        <v>-1.239051343873143E-3</v>
      </c>
      <c r="AC75" s="18">
        <v>2.3097861558198929E-3</v>
      </c>
      <c r="AD75" s="18">
        <v>-1.232269802130759E-3</v>
      </c>
      <c r="AE75" s="18">
        <v>-4.4227720354683703E-4</v>
      </c>
      <c r="AF75" s="18">
        <v>7.9036579700186849E-4</v>
      </c>
      <c r="AG75" s="17">
        <v>6</v>
      </c>
      <c r="AH75" s="16">
        <v>5.0000000000000001E-3</v>
      </c>
      <c r="AI75" s="17">
        <v>35</v>
      </c>
    </row>
    <row r="76" spans="1:35" x14ac:dyDescent="0.35">
      <c r="A76" s="27">
        <v>72</v>
      </c>
      <c r="B76" s="18">
        <v>1.30555272102356</v>
      </c>
      <c r="C76" s="18">
        <v>1.0499899387359619</v>
      </c>
      <c r="D76" s="18">
        <v>0.85557806491851807</v>
      </c>
      <c r="E76" s="18">
        <v>0.81909817457199097</v>
      </c>
      <c r="F76" s="18">
        <v>0.65622544288635254</v>
      </c>
      <c r="G76" s="18">
        <v>0.58957290649414063</v>
      </c>
      <c r="H76" s="18">
        <v>0.50687772035598755</v>
      </c>
      <c r="I76" s="18">
        <v>0.46877795457839971</v>
      </c>
      <c r="J76" s="18">
        <v>0.39103737473487848</v>
      </c>
      <c r="K76" s="18">
        <v>0.43924868106842041</v>
      </c>
      <c r="L76" s="18">
        <v>0.31577092409133911</v>
      </c>
      <c r="M76" s="18">
        <v>0.4172578752040863</v>
      </c>
      <c r="N76" s="18">
        <v>0.39784550666809082</v>
      </c>
      <c r="O76" s="18">
        <v>0.42425087094306951</v>
      </c>
      <c r="P76" s="18">
        <v>0.34738254547119141</v>
      </c>
      <c r="Q76" s="18">
        <v>0.33851712942123408</v>
      </c>
      <c r="R76" s="18">
        <v>0.41844832897186279</v>
      </c>
      <c r="S76" s="18">
        <v>0.38924160599708563</v>
      </c>
      <c r="T76" s="18">
        <v>0.40159809589385992</v>
      </c>
      <c r="U76" s="18">
        <v>0.43101593852043152</v>
      </c>
      <c r="V76" s="18">
        <v>0.41698431968688959</v>
      </c>
      <c r="W76" s="18">
        <v>0.40959584712982178</v>
      </c>
      <c r="X76" s="18">
        <v>0.43848505616188049</v>
      </c>
      <c r="Y76" s="18">
        <v>0.43230697512626648</v>
      </c>
      <c r="Z76" s="18">
        <v>0.36548510193824768</v>
      </c>
      <c r="AA76" s="18">
        <v>0.42005595564842219</v>
      </c>
      <c r="AB76" s="18">
        <v>0.4278913140296936</v>
      </c>
      <c r="AC76" s="18">
        <v>0.43195876479148859</v>
      </c>
      <c r="AD76" s="18">
        <v>0.36361986398696899</v>
      </c>
      <c r="AE76" s="18">
        <v>0.42687413096427917</v>
      </c>
      <c r="AF76" s="18">
        <v>0.4221910834312439</v>
      </c>
      <c r="AG76" s="17">
        <v>31</v>
      </c>
      <c r="AH76" s="16">
        <v>0.03</v>
      </c>
      <c r="AI76" s="17">
        <v>5</v>
      </c>
    </row>
    <row r="77" spans="1:35" x14ac:dyDescent="0.35">
      <c r="A77" s="27">
        <v>73</v>
      </c>
      <c r="B77" s="18">
        <v>1.1130824089050291</v>
      </c>
      <c r="C77" s="18">
        <v>0.72816562652587891</v>
      </c>
      <c r="D77" s="18">
        <v>0.38611346483230591</v>
      </c>
      <c r="E77" s="18">
        <v>0.34002712368965149</v>
      </c>
      <c r="F77" s="18">
        <v>1.3045698869973419E-3</v>
      </c>
      <c r="G77" s="18">
        <v>4.255438398104161E-4</v>
      </c>
      <c r="H77" s="18">
        <v>-5.0792971160262823E-4</v>
      </c>
      <c r="I77" s="18">
        <v>3.6306402762420482E-5</v>
      </c>
      <c r="J77" s="18">
        <v>-1.4943735732231289E-4</v>
      </c>
      <c r="K77" s="18">
        <v>-1.8581193580757829E-4</v>
      </c>
      <c r="L77" s="18">
        <v>-5.5996639275690541E-5</v>
      </c>
      <c r="M77" s="18">
        <v>-6.6253775730729103E-4</v>
      </c>
      <c r="N77" s="18">
        <v>-6.1889213975518942E-4</v>
      </c>
      <c r="O77" s="18">
        <v>9.4335479661822319E-4</v>
      </c>
      <c r="P77" s="18">
        <v>-5.3004967048764229E-4</v>
      </c>
      <c r="Q77" s="18">
        <v>8.2349538570269942E-4</v>
      </c>
      <c r="R77" s="18">
        <v>7.2790379635989666E-4</v>
      </c>
      <c r="S77" s="18">
        <v>-5.7404441758990288E-4</v>
      </c>
      <c r="T77" s="18">
        <v>2.2961056674830621E-4</v>
      </c>
      <c r="U77" s="18">
        <v>1.8086826894432311E-3</v>
      </c>
      <c r="V77" s="18">
        <v>-2.8095283778384328E-4</v>
      </c>
      <c r="W77" s="18">
        <v>1.1806369293481109E-3</v>
      </c>
      <c r="X77" s="18">
        <v>5.1750778220593929E-4</v>
      </c>
      <c r="Y77" s="18">
        <v>9.3492789892479777E-4</v>
      </c>
      <c r="Z77" s="18">
        <v>-7.320248187170364E-6</v>
      </c>
      <c r="AA77" s="18">
        <v>1.108557218685746E-3</v>
      </c>
      <c r="AB77" s="18">
        <v>6.7506631603464484E-4</v>
      </c>
      <c r="AC77" s="18">
        <v>7.3076385888271034E-5</v>
      </c>
      <c r="AD77" s="18">
        <v>1.2922320747748019E-3</v>
      </c>
      <c r="AE77" s="18">
        <v>9.4686511147301644E-5</v>
      </c>
      <c r="AF77" s="18">
        <v>-1.891766674816608E-3</v>
      </c>
      <c r="AG77" s="17">
        <v>4</v>
      </c>
      <c r="AH77" s="16">
        <v>3.0000000000000001E-3</v>
      </c>
      <c r="AI77" s="17">
        <v>87</v>
      </c>
    </row>
    <row r="78" spans="1:35" x14ac:dyDescent="0.35">
      <c r="A78" s="27">
        <v>74</v>
      </c>
      <c r="B78" s="18">
        <v>1.116951704025269</v>
      </c>
      <c r="C78" s="18">
        <v>0.78382986783981323</v>
      </c>
      <c r="D78" s="18">
        <v>0.52250450849533081</v>
      </c>
      <c r="E78" s="18">
        <v>0.52390462160110474</v>
      </c>
      <c r="F78" s="18">
        <v>0.32190856337547302</v>
      </c>
      <c r="G78" s="18">
        <v>0.24990017712116239</v>
      </c>
      <c r="H78" s="18">
        <v>0.19972735643386841</v>
      </c>
      <c r="I78" s="18">
        <v>0.18832600116729739</v>
      </c>
      <c r="J78" s="18">
        <v>0.154998853802681</v>
      </c>
      <c r="K78" s="18">
        <v>0.1577303558588028</v>
      </c>
      <c r="L78" s="18">
        <v>0.1286141574382782</v>
      </c>
      <c r="M78" s="18">
        <v>-2.8386994381435221E-4</v>
      </c>
      <c r="N78" s="18">
        <v>1.650081016123295E-3</v>
      </c>
      <c r="O78" s="18">
        <v>1.033227657899261E-3</v>
      </c>
      <c r="P78" s="18">
        <v>5.5320252431556582E-4</v>
      </c>
      <c r="Q78" s="18">
        <v>7.7435572165995836E-4</v>
      </c>
      <c r="R78" s="18">
        <v>3.4292630152776837E-4</v>
      </c>
      <c r="S78" s="18">
        <v>1.122582470998168E-3</v>
      </c>
      <c r="T78" s="18">
        <v>-1.8388879834674299E-4</v>
      </c>
      <c r="U78" s="18">
        <v>-2.4638185277581209E-4</v>
      </c>
      <c r="V78" s="18">
        <v>-4.5853393385186791E-4</v>
      </c>
      <c r="W78" s="18">
        <v>-1.681551919318736E-3</v>
      </c>
      <c r="X78" s="18">
        <v>1.5122984768822789E-3</v>
      </c>
      <c r="Y78" s="18">
        <v>-1.260695396922529E-3</v>
      </c>
      <c r="Z78" s="18">
        <v>-1.1292787967249749E-3</v>
      </c>
      <c r="AA78" s="18">
        <v>4.6761840349063283E-4</v>
      </c>
      <c r="AB78" s="18">
        <v>-4.4012034777551889E-4</v>
      </c>
      <c r="AC78" s="18">
        <v>-1.109356759116054E-3</v>
      </c>
      <c r="AD78" s="18">
        <v>2.511981874704361E-3</v>
      </c>
      <c r="AE78" s="18">
        <v>-1.883033895865083E-3</v>
      </c>
      <c r="AF78" s="18">
        <v>-2.1937624551355839E-3</v>
      </c>
      <c r="AG78" s="17">
        <v>11</v>
      </c>
      <c r="AH78" s="16">
        <v>0.01</v>
      </c>
      <c r="AI78" s="17">
        <v>22</v>
      </c>
    </row>
    <row r="79" spans="1:35" x14ac:dyDescent="0.35">
      <c r="A79" s="27">
        <v>75</v>
      </c>
      <c r="B79" s="18">
        <v>1.078152179718018</v>
      </c>
      <c r="C79" s="18">
        <v>0.68970870971679688</v>
      </c>
      <c r="D79" s="18">
        <v>0.32517632842063898</v>
      </c>
      <c r="E79" s="18">
        <v>0.27480140328407288</v>
      </c>
      <c r="F79" s="18">
        <v>7.2035792982205749E-4</v>
      </c>
      <c r="G79" s="18">
        <v>-4.0167628321796661E-4</v>
      </c>
      <c r="H79" s="18">
        <v>2.7596333529800182E-4</v>
      </c>
      <c r="I79" s="18">
        <v>-2.299863699590787E-4</v>
      </c>
      <c r="J79" s="18">
        <v>6.3707491790410131E-5</v>
      </c>
      <c r="K79" s="18">
        <v>-5.2481674356386065E-4</v>
      </c>
      <c r="L79" s="18">
        <v>6.4070076177813462E-7</v>
      </c>
      <c r="M79" s="18">
        <v>8.8355265324935317E-4</v>
      </c>
      <c r="N79" s="18">
        <v>6.0602265875786543E-4</v>
      </c>
      <c r="O79" s="18">
        <v>9.4799103680998087E-4</v>
      </c>
      <c r="P79" s="18">
        <v>-9.6704711904749274E-4</v>
      </c>
      <c r="Q79" s="18">
        <v>-1.023095101118088E-3</v>
      </c>
      <c r="R79" s="18">
        <v>2.0611428190022711E-3</v>
      </c>
      <c r="S79" s="18">
        <v>5.8761512627825141E-4</v>
      </c>
      <c r="T79" s="18">
        <v>9.0212729992344975E-4</v>
      </c>
      <c r="U79" s="18">
        <v>5.7572615332901478E-4</v>
      </c>
      <c r="V79" s="18">
        <v>1.5198574401438241E-3</v>
      </c>
      <c r="W79" s="18">
        <v>-4.8482339479960501E-4</v>
      </c>
      <c r="X79" s="18">
        <v>-1.3568191789090629E-3</v>
      </c>
      <c r="Y79" s="18">
        <v>4.8641223111189902E-4</v>
      </c>
      <c r="Z79" s="18">
        <v>7.9542916500940919E-4</v>
      </c>
      <c r="AA79" s="18">
        <v>-1.5000273706391449E-3</v>
      </c>
      <c r="AB79" s="18">
        <v>1.2602449860423799E-3</v>
      </c>
      <c r="AC79" s="18">
        <v>5.3234287770465016E-4</v>
      </c>
      <c r="AD79" s="18">
        <v>1.048220437951386E-3</v>
      </c>
      <c r="AE79" s="18">
        <v>2.3646864574402571E-3</v>
      </c>
      <c r="AF79" s="18">
        <v>2.840555040165782E-3</v>
      </c>
      <c r="AG79" s="17">
        <v>4</v>
      </c>
      <c r="AH79" s="16">
        <v>3.0000000000000001E-3</v>
      </c>
      <c r="AI79" s="17">
        <v>88</v>
      </c>
    </row>
    <row r="80" spans="1:35" x14ac:dyDescent="0.35">
      <c r="A80" s="27">
        <v>76</v>
      </c>
      <c r="B80" s="18">
        <v>1.3182938098907471</v>
      </c>
      <c r="C80" s="18">
        <v>0.9704781174659729</v>
      </c>
      <c r="D80" s="18">
        <v>0.72460263967514038</v>
      </c>
      <c r="E80" s="18">
        <v>0.65694057941436768</v>
      </c>
      <c r="F80" s="18">
        <v>0.46976330876350397</v>
      </c>
      <c r="G80" s="18">
        <v>0.38476493954658508</v>
      </c>
      <c r="H80" s="18">
        <v>0.30917653441429138</v>
      </c>
      <c r="I80" s="18">
        <v>0.28719493746757507</v>
      </c>
      <c r="J80" s="18">
        <v>0.23759698867797849</v>
      </c>
      <c r="K80" s="18">
        <v>0.25220149755477911</v>
      </c>
      <c r="L80" s="18">
        <v>0.20292483270168299</v>
      </c>
      <c r="M80" s="18">
        <v>0.27334895730018621</v>
      </c>
      <c r="N80" s="18">
        <v>0.26800182461738592</v>
      </c>
      <c r="O80" s="18">
        <v>0.29174363613128662</v>
      </c>
      <c r="P80" s="18">
        <v>0.22524017095565799</v>
      </c>
      <c r="Q80" s="18">
        <v>0.2152233570814133</v>
      </c>
      <c r="R80" s="18">
        <v>0.25763389468193049</v>
      </c>
      <c r="S80" s="18">
        <v>0.26752793788909912</v>
      </c>
      <c r="T80" s="18">
        <v>0.27582496404647833</v>
      </c>
      <c r="U80" s="18">
        <v>0.27984777092933649</v>
      </c>
      <c r="V80" s="18">
        <v>0.38617444038391108</v>
      </c>
      <c r="W80" s="18">
        <v>0.38644278049468989</v>
      </c>
      <c r="X80" s="18">
        <v>0.37338939309120178</v>
      </c>
      <c r="Y80" s="18">
        <v>0.36510837078094482</v>
      </c>
      <c r="Z80" s="18">
        <v>0.27784627676010132</v>
      </c>
      <c r="AA80" s="18">
        <v>0.34971907734870911</v>
      </c>
      <c r="AB80" s="18">
        <v>0.37507525086402888</v>
      </c>
      <c r="AC80" s="18">
        <v>0.34532058238983149</v>
      </c>
      <c r="AD80" s="18">
        <v>0.34717795252799988</v>
      </c>
      <c r="AE80" s="18">
        <v>0.39590105414390558</v>
      </c>
      <c r="AF80" s="18">
        <v>0.38996788859367371</v>
      </c>
      <c r="AG80" s="17">
        <v>31</v>
      </c>
      <c r="AH80" s="16">
        <v>0.03</v>
      </c>
      <c r="AI80" s="17">
        <v>6</v>
      </c>
    </row>
    <row r="81" spans="1:35" x14ac:dyDescent="0.35">
      <c r="A81" s="27">
        <v>77</v>
      </c>
      <c r="B81" s="18">
        <v>1.086971163749695</v>
      </c>
      <c r="C81" s="18">
        <v>0.7012333869934082</v>
      </c>
      <c r="D81" s="18">
        <v>0.34993210434913641</v>
      </c>
      <c r="E81" s="18">
        <v>0.30454358458518982</v>
      </c>
      <c r="F81" s="18">
        <v>-5.2955391583964229E-4</v>
      </c>
      <c r="G81" s="18">
        <v>-8.0731598427519202E-4</v>
      </c>
      <c r="H81" s="18">
        <v>-2.2345913748722521E-4</v>
      </c>
      <c r="I81" s="18">
        <v>1.101791640394367E-4</v>
      </c>
      <c r="J81" s="18">
        <v>8.2425649452488869E-6</v>
      </c>
      <c r="K81" s="18">
        <v>-4.5660717296414083E-4</v>
      </c>
      <c r="L81" s="18">
        <v>-2.9670345247723162E-4</v>
      </c>
      <c r="M81" s="18">
        <v>2.9045349219813937E-4</v>
      </c>
      <c r="N81" s="18">
        <v>7.4623043474275619E-5</v>
      </c>
      <c r="O81" s="18">
        <v>-8.8775908807292581E-4</v>
      </c>
      <c r="P81" s="18">
        <v>-3.5317376023158431E-4</v>
      </c>
      <c r="Q81" s="18">
        <v>-9.6995173953473568E-4</v>
      </c>
      <c r="R81" s="18">
        <v>1.491877948865294E-3</v>
      </c>
      <c r="S81" s="18">
        <v>1.983717549592257E-3</v>
      </c>
      <c r="T81" s="18">
        <v>1.491595874540508E-3</v>
      </c>
      <c r="U81" s="18">
        <v>1.3167626457288859E-3</v>
      </c>
      <c r="V81" s="18">
        <v>5.5406824685633183E-4</v>
      </c>
      <c r="W81" s="18">
        <v>1.3642720878124239E-3</v>
      </c>
      <c r="X81" s="18">
        <v>-4.0958347381092608E-4</v>
      </c>
      <c r="Y81" s="18">
        <v>1.786669599823654E-4</v>
      </c>
      <c r="Z81" s="18">
        <v>2.3256210261024529E-4</v>
      </c>
      <c r="AA81" s="18">
        <v>8.9052750263363123E-4</v>
      </c>
      <c r="AB81" s="18">
        <v>8.2667451351881027E-4</v>
      </c>
      <c r="AC81" s="18">
        <v>1.6678979154676199E-3</v>
      </c>
      <c r="AD81" s="18">
        <v>1.878885668702424E-3</v>
      </c>
      <c r="AE81" s="18">
        <v>-1.675611012615263E-3</v>
      </c>
      <c r="AF81" s="18">
        <v>1.4577200636267659E-4</v>
      </c>
      <c r="AG81" s="17">
        <v>4</v>
      </c>
      <c r="AH81" s="16">
        <v>3.0000000000000001E-3</v>
      </c>
      <c r="AI81" s="17">
        <v>89</v>
      </c>
    </row>
    <row r="82" spans="1:35" x14ac:dyDescent="0.35">
      <c r="A82" s="27">
        <v>78</v>
      </c>
      <c r="B82" s="18">
        <v>1.029765248298645</v>
      </c>
      <c r="C82" s="18">
        <v>0.6543692946434021</v>
      </c>
      <c r="D82" s="18">
        <v>0.31642535328865051</v>
      </c>
      <c r="E82" s="18">
        <v>0.31289425492286682</v>
      </c>
      <c r="F82" s="18">
        <v>1.007714541628957E-3</v>
      </c>
      <c r="G82" s="18">
        <v>3.03692213492468E-4</v>
      </c>
      <c r="H82" s="18">
        <v>-5.6923661759356037E-5</v>
      </c>
      <c r="I82" s="18">
        <v>7.2174581873696297E-5</v>
      </c>
      <c r="J82" s="18">
        <v>-2.201332390541211E-4</v>
      </c>
      <c r="K82" s="18">
        <v>4.4666693429462612E-4</v>
      </c>
      <c r="L82" s="18">
        <v>1.2539261661004281E-4</v>
      </c>
      <c r="M82" s="18">
        <v>7.5828318949788809E-4</v>
      </c>
      <c r="N82" s="18">
        <v>5.8431434445083141E-4</v>
      </c>
      <c r="O82" s="18">
        <v>-9.1648160014301538E-4</v>
      </c>
      <c r="P82" s="18">
        <v>7.4817367021751116E-6</v>
      </c>
      <c r="Q82" s="18">
        <v>7.7540992060676217E-4</v>
      </c>
      <c r="R82" s="18">
        <v>-5.8093020925298333E-4</v>
      </c>
      <c r="S82" s="18">
        <v>1.138875260949135E-3</v>
      </c>
      <c r="T82" s="18">
        <v>3.2237479899777099E-5</v>
      </c>
      <c r="U82" s="18">
        <v>2.7117077843286102E-4</v>
      </c>
      <c r="V82" s="18">
        <v>1.024661585688591E-3</v>
      </c>
      <c r="W82" s="18">
        <v>-1.115228405978996E-5</v>
      </c>
      <c r="X82" s="18">
        <v>-1.321282237768173E-3</v>
      </c>
      <c r="Y82" s="18">
        <v>2.806862466968596E-4</v>
      </c>
      <c r="Z82" s="18">
        <v>-1.585630467161536E-3</v>
      </c>
      <c r="AA82" s="18">
        <v>1.9516317406669259E-3</v>
      </c>
      <c r="AB82" s="18">
        <v>1.0994611075147991E-3</v>
      </c>
      <c r="AC82" s="18">
        <v>-1.1781250359490509E-3</v>
      </c>
      <c r="AD82" s="18">
        <v>-2.1318446379154921E-3</v>
      </c>
      <c r="AE82" s="18">
        <v>3.3420796971768141E-3</v>
      </c>
      <c r="AF82" s="18">
        <v>2.9709762893617149E-3</v>
      </c>
      <c r="AG82" s="17">
        <v>4</v>
      </c>
      <c r="AH82" s="16">
        <v>3.0000000000000001E-3</v>
      </c>
      <c r="AI82" s="17">
        <v>90</v>
      </c>
    </row>
    <row r="83" spans="1:35" x14ac:dyDescent="0.35">
      <c r="A83" s="27">
        <v>79</v>
      </c>
      <c r="B83" s="18">
        <v>1.1045651435852051</v>
      </c>
      <c r="C83" s="18">
        <v>0.72062081098556519</v>
      </c>
      <c r="D83" s="18">
        <v>0.37909254431724548</v>
      </c>
      <c r="E83" s="18">
        <v>0.30490833520889282</v>
      </c>
      <c r="F83" s="18">
        <v>2.5202496908605099E-4</v>
      </c>
      <c r="G83" s="18">
        <v>8.2692695286823437E-6</v>
      </c>
      <c r="H83" s="18">
        <v>7.5048432336188853E-5</v>
      </c>
      <c r="I83" s="18">
        <v>3.5407798714004462E-4</v>
      </c>
      <c r="J83" s="18">
        <v>-8.0164572864305228E-5</v>
      </c>
      <c r="K83" s="18">
        <v>6.819659611210227E-4</v>
      </c>
      <c r="L83" s="18">
        <v>-1.78768445039168E-4</v>
      </c>
      <c r="M83" s="18">
        <v>2.05426273168996E-4</v>
      </c>
      <c r="N83" s="18">
        <v>-1.372717233607545E-4</v>
      </c>
      <c r="O83" s="18">
        <v>-3.5050985752604902E-4</v>
      </c>
      <c r="P83" s="18">
        <v>-6.4565858338028193E-4</v>
      </c>
      <c r="Q83" s="18">
        <v>-9.120437316596508E-4</v>
      </c>
      <c r="R83" s="18">
        <v>-1.3182137627154589E-4</v>
      </c>
      <c r="S83" s="18">
        <v>-5.5990013061091304E-4</v>
      </c>
      <c r="T83" s="18">
        <v>-1.5063556202221659E-4</v>
      </c>
      <c r="U83" s="18">
        <v>7.9539400758221745E-4</v>
      </c>
      <c r="V83" s="18">
        <v>-1.1207659263163809E-3</v>
      </c>
      <c r="W83" s="18">
        <v>9.1378245269879699E-4</v>
      </c>
      <c r="X83" s="18">
        <v>5.4084270232124247E-5</v>
      </c>
      <c r="Y83" s="18">
        <v>-1.2319866800680761E-3</v>
      </c>
      <c r="Z83" s="18">
        <v>-1.644129981286824E-3</v>
      </c>
      <c r="AA83" s="18">
        <v>-8.4743130719289184E-4</v>
      </c>
      <c r="AB83" s="18">
        <v>-3.913031832780689E-4</v>
      </c>
      <c r="AC83" s="18">
        <v>8.1083408076665364E-6</v>
      </c>
      <c r="AD83" s="18">
        <v>1.0257993126288061E-3</v>
      </c>
      <c r="AE83" s="18">
        <v>-9.6025376114994287E-4</v>
      </c>
      <c r="AF83" s="18">
        <v>2.004485577344894E-3</v>
      </c>
      <c r="AG83" s="17">
        <v>4</v>
      </c>
      <c r="AH83" s="16">
        <v>3.0000000000000001E-3</v>
      </c>
      <c r="AI83" s="17">
        <v>91</v>
      </c>
    </row>
    <row r="84" spans="1:35" x14ac:dyDescent="0.35">
      <c r="A84" s="27">
        <v>80</v>
      </c>
      <c r="B84" s="18">
        <v>1.133802533149719</v>
      </c>
      <c r="C84" s="18">
        <v>0.7359316349029541</v>
      </c>
      <c r="D84" s="18">
        <v>0.39262408018112183</v>
      </c>
      <c r="E84" s="18">
        <v>0.31921613216400152</v>
      </c>
      <c r="F84" s="18">
        <v>8.1665860489010811E-4</v>
      </c>
      <c r="G84" s="18">
        <v>2.4124509945977479E-4</v>
      </c>
      <c r="H84" s="18">
        <v>4.4947148126084358E-5</v>
      </c>
      <c r="I84" s="18">
        <v>-1.2670720752794301E-4</v>
      </c>
      <c r="J84" s="18">
        <v>2.9173324583098292E-4</v>
      </c>
      <c r="K84" s="18">
        <v>2.5071983691304922E-4</v>
      </c>
      <c r="L84" s="18">
        <v>2.248607634101063E-4</v>
      </c>
      <c r="M84" s="18">
        <v>8.5890496848151088E-4</v>
      </c>
      <c r="N84" s="18">
        <v>6.6309214162174612E-5</v>
      </c>
      <c r="O84" s="18">
        <v>1.2986765068490061E-4</v>
      </c>
      <c r="P84" s="18">
        <v>-3.5763310734182602E-4</v>
      </c>
      <c r="Q84" s="18">
        <v>9.0300280135124922E-5</v>
      </c>
      <c r="R84" s="18">
        <v>-6.6169106867164373E-4</v>
      </c>
      <c r="S84" s="18">
        <v>-3.9153860416263342E-4</v>
      </c>
      <c r="T84" s="18">
        <v>2.9104907298460597E-4</v>
      </c>
      <c r="U84" s="18">
        <v>-5.6297285482287407E-4</v>
      </c>
      <c r="V84" s="18">
        <v>1.2990254908800129E-3</v>
      </c>
      <c r="W84" s="18">
        <v>2.114658709615469E-4</v>
      </c>
      <c r="X84" s="18">
        <v>5.3424073848873377E-4</v>
      </c>
      <c r="Y84" s="18">
        <v>8.3559272752609104E-5</v>
      </c>
      <c r="Z84" s="18">
        <v>-1.397510757669806E-3</v>
      </c>
      <c r="AA84" s="18">
        <v>-7.4598961509764194E-4</v>
      </c>
      <c r="AB84" s="18">
        <v>1.542578567750752E-3</v>
      </c>
      <c r="AC84" s="18">
        <v>-2.8736656531691551E-3</v>
      </c>
      <c r="AD84" s="18">
        <v>-1.1835213517770169E-3</v>
      </c>
      <c r="AE84" s="18">
        <v>-2.6533179334364831E-4</v>
      </c>
      <c r="AF84" s="18">
        <v>-1.722046523354948E-3</v>
      </c>
      <c r="AG84" s="17">
        <v>4</v>
      </c>
      <c r="AH84" s="16">
        <v>3.0000000000000001E-3</v>
      </c>
      <c r="AI84" s="17">
        <v>92</v>
      </c>
    </row>
    <row r="85" spans="1:35" x14ac:dyDescent="0.35">
      <c r="A85" s="27">
        <v>81</v>
      </c>
      <c r="B85" s="18">
        <v>1.2358671426773069</v>
      </c>
      <c r="C85" s="18">
        <v>0.85715216398239136</v>
      </c>
      <c r="D85" s="18">
        <v>0.56008428335189819</v>
      </c>
      <c r="E85" s="18">
        <v>0.48338529467582703</v>
      </c>
      <c r="F85" s="18">
        <v>0.23912562429904941</v>
      </c>
      <c r="G85" s="18">
        <v>7.6200626790523529E-2</v>
      </c>
      <c r="H85" s="18">
        <v>-8.2606717478483915E-4</v>
      </c>
      <c r="I85" s="18">
        <v>1.6120829968713221E-4</v>
      </c>
      <c r="J85" s="18">
        <v>1.2672141019720579E-4</v>
      </c>
      <c r="K85" s="18">
        <v>5.1695341244339943E-4</v>
      </c>
      <c r="L85" s="18">
        <v>2.471892221365124E-4</v>
      </c>
      <c r="M85" s="18">
        <v>2.3915470228530469E-4</v>
      </c>
      <c r="N85" s="18">
        <v>3.7876347050769248E-5</v>
      </c>
      <c r="O85" s="18">
        <v>1.0008341632783411E-3</v>
      </c>
      <c r="P85" s="18">
        <v>4.1585549479350448E-4</v>
      </c>
      <c r="Q85" s="18">
        <v>9.4357155830948614E-6</v>
      </c>
      <c r="R85" s="18">
        <v>1.556273200549185E-4</v>
      </c>
      <c r="S85" s="18">
        <v>4.055722092743963E-4</v>
      </c>
      <c r="T85" s="18">
        <v>2.5620005908422172E-4</v>
      </c>
      <c r="U85" s="18">
        <v>-7.79200519900769E-4</v>
      </c>
      <c r="V85" s="18">
        <v>1.0959206847473979E-3</v>
      </c>
      <c r="W85" s="18">
        <v>1.486262655816972E-3</v>
      </c>
      <c r="X85" s="18">
        <v>1.5711137093603611E-3</v>
      </c>
      <c r="Y85" s="18">
        <v>-1.794278970919549E-3</v>
      </c>
      <c r="Z85" s="18">
        <v>-8.8613881962373853E-4</v>
      </c>
      <c r="AA85" s="18">
        <v>1.094468370865798E-5</v>
      </c>
      <c r="AB85" s="18">
        <v>-1.26692047342658E-3</v>
      </c>
      <c r="AC85" s="18">
        <v>-7.413721177726984E-4</v>
      </c>
      <c r="AD85" s="18">
        <v>-2.4929782375693321E-3</v>
      </c>
      <c r="AE85" s="18">
        <v>-7.1864289930090308E-4</v>
      </c>
      <c r="AF85" s="18">
        <v>3.499205457046628E-3</v>
      </c>
      <c r="AG85" s="17">
        <v>6</v>
      </c>
      <c r="AH85" s="16">
        <v>5.0000000000000001E-3</v>
      </c>
      <c r="AI85" s="17">
        <v>36</v>
      </c>
    </row>
    <row r="86" spans="1:35" x14ac:dyDescent="0.35">
      <c r="A86" s="27">
        <v>82</v>
      </c>
      <c r="B86" s="18">
        <v>1.1106692552566531</v>
      </c>
      <c r="C86" s="18">
        <v>0.72926652431488037</v>
      </c>
      <c r="D86" s="18">
        <v>0.39097282290458679</v>
      </c>
      <c r="E86" s="18">
        <v>0.3228766918182373</v>
      </c>
      <c r="F86" s="18">
        <v>8.3551456918939948E-4</v>
      </c>
      <c r="G86" s="18">
        <v>-3.0305096879601479E-4</v>
      </c>
      <c r="H86" s="18">
        <v>3.4447271900717169E-5</v>
      </c>
      <c r="I86" s="18">
        <v>-3.344315045978874E-4</v>
      </c>
      <c r="J86" s="18">
        <v>-2.571575460024178E-4</v>
      </c>
      <c r="K86" s="18">
        <v>-8.700608741492033E-4</v>
      </c>
      <c r="L86" s="18">
        <v>-1.0752939851954579E-4</v>
      </c>
      <c r="M86" s="18">
        <v>-9.1621943283826113E-4</v>
      </c>
      <c r="N86" s="18">
        <v>7.4251415207982063E-4</v>
      </c>
      <c r="O86" s="18">
        <v>-6.2273826915770769E-4</v>
      </c>
      <c r="P86" s="18">
        <v>5.8751023607328534E-4</v>
      </c>
      <c r="Q86" s="18">
        <v>2.9446269763866439E-5</v>
      </c>
      <c r="R86" s="18">
        <v>-8.5188985394779593E-5</v>
      </c>
      <c r="S86" s="18">
        <v>-1.422728411853313E-3</v>
      </c>
      <c r="T86" s="18">
        <v>9.5861952286213636E-4</v>
      </c>
      <c r="U86" s="18">
        <v>-1.1418233625590799E-3</v>
      </c>
      <c r="V86" s="18">
        <v>-1.9793857063632461E-4</v>
      </c>
      <c r="W86" s="18">
        <v>-1.733597018755972E-3</v>
      </c>
      <c r="X86" s="18">
        <v>-1.348761143162847E-3</v>
      </c>
      <c r="Y86" s="18">
        <v>1.5346569707617159E-3</v>
      </c>
      <c r="Z86" s="18">
        <v>-8.4860401693731546E-4</v>
      </c>
      <c r="AA86" s="18">
        <v>2.422423422103748E-4</v>
      </c>
      <c r="AB86" s="18">
        <v>2.4112632672768089E-4</v>
      </c>
      <c r="AC86" s="18">
        <v>2.0081020193174479E-4</v>
      </c>
      <c r="AD86" s="18">
        <v>1.5827170573174949E-3</v>
      </c>
      <c r="AE86" s="18">
        <v>2.7485298924148078E-3</v>
      </c>
      <c r="AF86" s="18">
        <v>2.6478809304535389E-3</v>
      </c>
      <c r="AG86" s="17">
        <v>4</v>
      </c>
      <c r="AH86" s="16">
        <v>3.0000000000000001E-3</v>
      </c>
      <c r="AI86" s="17">
        <v>93</v>
      </c>
    </row>
    <row r="87" spans="1:35" x14ac:dyDescent="0.35">
      <c r="A87" s="27">
        <v>83</v>
      </c>
      <c r="B87" s="18">
        <v>1.103102564811707</v>
      </c>
      <c r="C87" s="18">
        <v>0.7284504771232605</v>
      </c>
      <c r="D87" s="18">
        <v>0.39432555437088013</v>
      </c>
      <c r="E87" s="18">
        <v>0.36168494820594788</v>
      </c>
      <c r="F87" s="18">
        <v>1.572866225615144E-3</v>
      </c>
      <c r="G87" s="18">
        <v>2.130592235971562E-8</v>
      </c>
      <c r="H87" s="18">
        <v>-1.1786772665800529E-4</v>
      </c>
      <c r="I87" s="18">
        <v>-6.1657256446778774E-4</v>
      </c>
      <c r="J87" s="18">
        <v>-4.2674972064560279E-5</v>
      </c>
      <c r="K87" s="18">
        <v>3.3833447378128772E-4</v>
      </c>
      <c r="L87" s="18">
        <v>2.633934782352298E-4</v>
      </c>
      <c r="M87" s="18">
        <v>-7.5355143053457141E-4</v>
      </c>
      <c r="N87" s="18">
        <v>-4.9926504289032891E-5</v>
      </c>
      <c r="O87" s="18">
        <v>-1.429230032954365E-4</v>
      </c>
      <c r="P87" s="18">
        <v>-4.8530442290939391E-4</v>
      </c>
      <c r="Q87" s="18">
        <v>9.3856237072031945E-5</v>
      </c>
      <c r="R87" s="18">
        <v>1.4512768248096111E-3</v>
      </c>
      <c r="S87" s="18">
        <v>-1.11555156763643E-3</v>
      </c>
      <c r="T87" s="18">
        <v>4.162835466559045E-5</v>
      </c>
      <c r="U87" s="18">
        <v>-9.4100477872416377E-4</v>
      </c>
      <c r="V87" s="18">
        <v>-1.092564663849771E-3</v>
      </c>
      <c r="W87" s="18">
        <v>-1.858660602010787E-3</v>
      </c>
      <c r="X87" s="18">
        <v>2.6300395256839693E-4</v>
      </c>
      <c r="Y87" s="18">
        <v>9.5986801898106933E-4</v>
      </c>
      <c r="Z87" s="18">
        <v>1.1240688618272541E-3</v>
      </c>
      <c r="AA87" s="18">
        <v>-1.25256844330579E-3</v>
      </c>
      <c r="AB87" s="18">
        <v>6.1928050126880407E-4</v>
      </c>
      <c r="AC87" s="18">
        <v>2.0045384299010038E-3</v>
      </c>
      <c r="AD87" s="18">
        <v>2.182133961468935E-3</v>
      </c>
      <c r="AE87" s="18">
        <v>4.498810158111155E-4</v>
      </c>
      <c r="AF87" s="18">
        <v>1.220344216562808E-3</v>
      </c>
      <c r="AG87" s="17">
        <v>4</v>
      </c>
      <c r="AH87" s="16">
        <v>3.0000000000000001E-3</v>
      </c>
      <c r="AI87" s="17">
        <v>94</v>
      </c>
    </row>
    <row r="88" spans="1:35" x14ac:dyDescent="0.35">
      <c r="A88" s="27">
        <v>84</v>
      </c>
      <c r="B88" s="18">
        <v>1.0372970104217529</v>
      </c>
      <c r="C88" s="18">
        <v>0.64818871021270752</v>
      </c>
      <c r="D88" s="18">
        <v>0.28371870517730707</v>
      </c>
      <c r="E88" s="18">
        <v>0.28267356753349299</v>
      </c>
      <c r="F88" s="18">
        <v>1.688914257101715E-3</v>
      </c>
      <c r="G88" s="18">
        <v>-3.0011593480594462E-4</v>
      </c>
      <c r="H88" s="18">
        <v>1.7320463666692379E-4</v>
      </c>
      <c r="I88" s="18">
        <v>-4.3057760194642469E-5</v>
      </c>
      <c r="J88" s="18">
        <v>1.043750162352808E-4</v>
      </c>
      <c r="K88" s="18">
        <v>2.1052651572972539E-4</v>
      </c>
      <c r="L88" s="18">
        <v>3.5164123983122408E-4</v>
      </c>
      <c r="M88" s="18">
        <v>-4.2576206033118069E-4</v>
      </c>
      <c r="N88" s="18">
        <v>1.236812531715259E-4</v>
      </c>
      <c r="O88" s="18">
        <v>2.105991879943758E-4</v>
      </c>
      <c r="P88" s="18">
        <v>-9.8320915640215389E-6</v>
      </c>
      <c r="Q88" s="18">
        <v>-1.8824267317540941E-4</v>
      </c>
      <c r="R88" s="18">
        <v>2.1810508769704029E-5</v>
      </c>
      <c r="S88" s="18">
        <v>9.5657526981085539E-4</v>
      </c>
      <c r="T88" s="18">
        <v>1.176993479020894E-3</v>
      </c>
      <c r="U88" s="18">
        <v>3.1489093089476228E-4</v>
      </c>
      <c r="V88" s="18">
        <v>-1.418931875377893E-3</v>
      </c>
      <c r="W88" s="18">
        <v>-1.506497501395643E-3</v>
      </c>
      <c r="X88" s="18">
        <v>-1.567463739775121E-3</v>
      </c>
      <c r="Y88" s="18">
        <v>-1.332820276729763E-3</v>
      </c>
      <c r="Z88" s="18">
        <v>-2.505635202396661E-4</v>
      </c>
      <c r="AA88" s="18">
        <v>1.4959418913349509E-3</v>
      </c>
      <c r="AB88" s="18">
        <v>1.7359368503093719E-3</v>
      </c>
      <c r="AC88" s="18">
        <v>3.4470183891244233E-4</v>
      </c>
      <c r="AD88" s="18">
        <v>1.1807329719886179E-3</v>
      </c>
      <c r="AE88" s="18">
        <v>1.848871936090291E-3</v>
      </c>
      <c r="AF88" s="18">
        <v>-3.075112821534276E-3</v>
      </c>
      <c r="AG88" s="17">
        <v>4</v>
      </c>
      <c r="AH88" s="16">
        <v>3.0000000000000001E-3</v>
      </c>
      <c r="AI88" s="17">
        <v>95</v>
      </c>
    </row>
    <row r="89" spans="1:35" x14ac:dyDescent="0.35">
      <c r="A89" s="27">
        <v>85</v>
      </c>
      <c r="B89" s="18">
        <v>1.1691354513168331</v>
      </c>
      <c r="C89" s="18">
        <v>0.83925825357437134</v>
      </c>
      <c r="D89" s="18">
        <v>0.57172733545303345</v>
      </c>
      <c r="E89" s="18">
        <v>0.54095149040222168</v>
      </c>
      <c r="F89" s="18">
        <v>0.31132891774177551</v>
      </c>
      <c r="G89" s="18">
        <v>0.2640150785446167</v>
      </c>
      <c r="H89" s="18">
        <v>0.19542165100574491</v>
      </c>
      <c r="I89" s="18">
        <v>0.23856773972511289</v>
      </c>
      <c r="J89" s="18">
        <v>0.1709588021039963</v>
      </c>
      <c r="K89" s="18">
        <v>3.5879696952179069E-4</v>
      </c>
      <c r="L89" s="18">
        <v>1.620698603801429E-4</v>
      </c>
      <c r="M89" s="18">
        <v>-1.8121395260095599E-4</v>
      </c>
      <c r="N89" s="18">
        <v>-3.3954947866732248E-5</v>
      </c>
      <c r="O89" s="18">
        <v>2.1550733072217551E-4</v>
      </c>
      <c r="P89" s="18">
        <v>-7.9326733248308301E-4</v>
      </c>
      <c r="Q89" s="18">
        <v>2.6658051865524609E-5</v>
      </c>
      <c r="R89" s="18">
        <v>-7.9183970228768885E-5</v>
      </c>
      <c r="S89" s="18">
        <v>7.504243403673172E-4</v>
      </c>
      <c r="T89" s="18">
        <v>2.7434632647782559E-4</v>
      </c>
      <c r="U89" s="18">
        <v>1.6294239685521461E-5</v>
      </c>
      <c r="V89" s="18">
        <v>1.916405046358705E-3</v>
      </c>
      <c r="W89" s="18">
        <v>-7.0988503284752369E-4</v>
      </c>
      <c r="X89" s="18">
        <v>-9.013404487632215E-4</v>
      </c>
      <c r="Y89" s="18">
        <v>-2.5994304451160127E-4</v>
      </c>
      <c r="Z89" s="18">
        <v>6.8765354808419943E-4</v>
      </c>
      <c r="AA89" s="18">
        <v>1.5891309594735501E-3</v>
      </c>
      <c r="AB89" s="18">
        <v>-1.3723069569095969E-3</v>
      </c>
      <c r="AC89" s="18">
        <v>1.64866610430181E-3</v>
      </c>
      <c r="AD89" s="18">
        <v>-2.2129570133984089E-3</v>
      </c>
      <c r="AE89" s="18">
        <v>-1.6482339706271889E-3</v>
      </c>
      <c r="AF89" s="18">
        <v>2.7174896094948049E-3</v>
      </c>
      <c r="AG89" s="17">
        <v>9</v>
      </c>
      <c r="AH89" s="16">
        <v>8.0000000000000002E-3</v>
      </c>
      <c r="AI89" s="17">
        <v>25</v>
      </c>
    </row>
    <row r="90" spans="1:35" x14ac:dyDescent="0.35">
      <c r="A90" s="27">
        <v>86</v>
      </c>
      <c r="B90" s="18">
        <v>1.223968029022217</v>
      </c>
      <c r="C90" s="18">
        <v>0.88122278451919556</v>
      </c>
      <c r="D90" s="18">
        <v>0.62121176719665527</v>
      </c>
      <c r="E90" s="18">
        <v>0.61570155620574951</v>
      </c>
      <c r="F90" s="18">
        <v>0.40003785490989691</v>
      </c>
      <c r="G90" s="18">
        <v>0.30851301550865168</v>
      </c>
      <c r="H90" s="18">
        <v>0.23379071056842801</v>
      </c>
      <c r="I90" s="18">
        <v>0.22292742133140561</v>
      </c>
      <c r="J90" s="18">
        <v>0.1687095910310745</v>
      </c>
      <c r="K90" s="18">
        <v>0.19746397435665131</v>
      </c>
      <c r="L90" s="18">
        <v>0.1477210521697998</v>
      </c>
      <c r="M90" s="18">
        <v>0.1888321191072464</v>
      </c>
      <c r="N90" s="18">
        <v>0.25992608070373541</v>
      </c>
      <c r="O90" s="18">
        <v>0.3114488422870636</v>
      </c>
      <c r="P90" s="18">
        <v>0.22731722891330719</v>
      </c>
      <c r="Q90" s="18">
        <v>0.22041031718254089</v>
      </c>
      <c r="R90" s="18">
        <v>0.38988000154495239</v>
      </c>
      <c r="S90" s="18">
        <v>0.40476745367050171</v>
      </c>
      <c r="T90" s="18">
        <v>0.40139305591583252</v>
      </c>
      <c r="U90" s="18">
        <v>2.6143001741729682E-4</v>
      </c>
      <c r="V90" s="18">
        <v>7.4835610575973988E-4</v>
      </c>
      <c r="W90" s="18">
        <v>-9.2240290541667491E-5</v>
      </c>
      <c r="X90" s="18">
        <v>1.870401320047677E-3</v>
      </c>
      <c r="Y90" s="18">
        <v>-1.125158392824233E-3</v>
      </c>
      <c r="Z90" s="18">
        <v>-8.4340973990038037E-4</v>
      </c>
      <c r="AA90" s="18">
        <v>1.297050854191184E-3</v>
      </c>
      <c r="AB90" s="18">
        <v>-7.3755846824496984E-4</v>
      </c>
      <c r="AC90" s="18">
        <v>-4.3182095396332437E-4</v>
      </c>
      <c r="AD90" s="18">
        <v>-6.0329202096909285E-4</v>
      </c>
      <c r="AE90" s="18">
        <v>2.970236586406827E-3</v>
      </c>
      <c r="AF90" s="18">
        <v>3.8098033983260389E-3</v>
      </c>
      <c r="AG90" s="17">
        <v>19</v>
      </c>
      <c r="AH90" s="16">
        <v>1.7999999999999999E-2</v>
      </c>
      <c r="AI90" s="17">
        <v>11</v>
      </c>
    </row>
    <row r="91" spans="1:35" x14ac:dyDescent="0.35">
      <c r="A91" s="27">
        <v>87</v>
      </c>
      <c r="B91" s="18">
        <v>1.0734719038009639</v>
      </c>
      <c r="C91" s="18">
        <v>0.67886108160018921</v>
      </c>
      <c r="D91" s="18">
        <v>0.32821434736251831</v>
      </c>
      <c r="E91" s="18">
        <v>0.2826269268989563</v>
      </c>
      <c r="F91" s="18">
        <v>-1.306530670262873E-3</v>
      </c>
      <c r="G91" s="18">
        <v>-2.143069141311571E-4</v>
      </c>
      <c r="H91" s="18">
        <v>-2.373829192947596E-5</v>
      </c>
      <c r="I91" s="18">
        <v>-3.3299955248367041E-5</v>
      </c>
      <c r="J91" s="18">
        <v>-3.1106810638448219E-6</v>
      </c>
      <c r="K91" s="18">
        <v>-2.348632988287136E-4</v>
      </c>
      <c r="L91" s="18">
        <v>6.1658429331146181E-5</v>
      </c>
      <c r="M91" s="18">
        <v>-9.9091138690710068E-4</v>
      </c>
      <c r="N91" s="18">
        <v>-8.0139552665059455E-6</v>
      </c>
      <c r="O91" s="18">
        <v>1.054472057148814E-3</v>
      </c>
      <c r="P91" s="18">
        <v>-8.0676301149651408E-4</v>
      </c>
      <c r="Q91" s="18">
        <v>9.4683520728722215E-5</v>
      </c>
      <c r="R91" s="18">
        <v>3.0770746525377041E-4</v>
      </c>
      <c r="S91" s="18">
        <v>-7.000924670137465E-4</v>
      </c>
      <c r="T91" s="18">
        <v>1.341263996437192E-3</v>
      </c>
      <c r="U91" s="18">
        <v>-8.5533602396026254E-4</v>
      </c>
      <c r="V91" s="18">
        <v>1.5541159082204099E-3</v>
      </c>
      <c r="W91" s="18">
        <v>-2.7284451061859732E-4</v>
      </c>
      <c r="X91" s="18">
        <v>1.606359845027328E-3</v>
      </c>
      <c r="Y91" s="18">
        <v>-8.8745779066812247E-5</v>
      </c>
      <c r="Z91" s="18">
        <v>1.611719344509766E-4</v>
      </c>
      <c r="AA91" s="18">
        <v>2.1772796753793951E-3</v>
      </c>
      <c r="AB91" s="18">
        <v>6.2488327967002988E-4</v>
      </c>
      <c r="AC91" s="18">
        <v>-5.8973615523427725E-4</v>
      </c>
      <c r="AD91" s="18">
        <v>-2.406890736892819E-3</v>
      </c>
      <c r="AE91" s="18">
        <v>3.236688207834959E-3</v>
      </c>
      <c r="AF91" s="18">
        <v>-3.0111952219158411E-3</v>
      </c>
      <c r="AG91" s="17">
        <v>4</v>
      </c>
      <c r="AH91" s="16">
        <v>3.0000000000000001E-3</v>
      </c>
      <c r="AI91" s="17">
        <v>96</v>
      </c>
    </row>
    <row r="92" spans="1:35" x14ac:dyDescent="0.35">
      <c r="A92" s="27">
        <v>88</v>
      </c>
      <c r="B92" s="18">
        <v>1.1630170345306401</v>
      </c>
      <c r="C92" s="18">
        <v>0.78945934772491455</v>
      </c>
      <c r="D92" s="18">
        <v>0.47840583324432367</v>
      </c>
      <c r="E92" s="18">
        <v>0.42149624228477478</v>
      </c>
      <c r="F92" s="18">
        <v>3.3787019550800317E-2</v>
      </c>
      <c r="G92" s="18">
        <v>-1.760794106075991E-7</v>
      </c>
      <c r="H92" s="18">
        <v>-3.8308979128487408E-4</v>
      </c>
      <c r="I92" s="18">
        <v>3.2442858355352662E-5</v>
      </c>
      <c r="J92" s="18">
        <v>-1.1241847096243871E-4</v>
      </c>
      <c r="K92" s="18">
        <v>-1.3924391532782471E-4</v>
      </c>
      <c r="L92" s="18">
        <v>-4.6271503379102803E-5</v>
      </c>
      <c r="M92" s="18">
        <v>-5.2383984439074993E-4</v>
      </c>
      <c r="N92" s="18">
        <v>4.0625096880830819E-4</v>
      </c>
      <c r="O92" s="18">
        <v>-6.0842226957902312E-4</v>
      </c>
      <c r="P92" s="18">
        <v>4.3556545278988779E-4</v>
      </c>
      <c r="Q92" s="18">
        <v>-9.002412116387859E-5</v>
      </c>
      <c r="R92" s="18">
        <v>1.353487023152411E-3</v>
      </c>
      <c r="S92" s="18">
        <v>-6.8929715780541301E-4</v>
      </c>
      <c r="T92" s="18">
        <v>-4.7596872900612652E-4</v>
      </c>
      <c r="U92" s="18">
        <v>1.49579718708992E-3</v>
      </c>
      <c r="V92" s="18">
        <v>1.6347368946298959E-3</v>
      </c>
      <c r="W92" s="18">
        <v>6.926243077032268E-4</v>
      </c>
      <c r="X92" s="18">
        <v>-1.383643480949104E-3</v>
      </c>
      <c r="Y92" s="18">
        <v>1.278438721783459E-3</v>
      </c>
      <c r="Z92" s="18">
        <v>-1.053844578564167E-3</v>
      </c>
      <c r="AA92" s="18">
        <v>-1.5615498414263129E-3</v>
      </c>
      <c r="AB92" s="18">
        <v>-9.6397066954523325E-4</v>
      </c>
      <c r="AC92" s="18">
        <v>-2.2536609321832661E-3</v>
      </c>
      <c r="AD92" s="18">
        <v>-2.7253611478954549E-3</v>
      </c>
      <c r="AE92" s="18">
        <v>1.9701891578733921E-3</v>
      </c>
      <c r="AF92" s="18">
        <v>1.0257224785164001E-3</v>
      </c>
      <c r="AG92" s="17">
        <v>5</v>
      </c>
      <c r="AH92" s="16">
        <v>4.0000000000000001E-3</v>
      </c>
      <c r="AI92" s="17">
        <v>50</v>
      </c>
    </row>
    <row r="93" spans="1:35" x14ac:dyDescent="0.35">
      <c r="A93" s="27">
        <v>89</v>
      </c>
      <c r="B93" s="18">
        <v>1.1766612529754641</v>
      </c>
      <c r="C93" s="18">
        <v>0.82622182369232178</v>
      </c>
      <c r="D93" s="18">
        <v>0.52229231595993042</v>
      </c>
      <c r="E93" s="18">
        <v>0.4681803286075592</v>
      </c>
      <c r="F93" s="18">
        <v>2.5563672184944149E-2</v>
      </c>
      <c r="G93" s="18">
        <v>-6.5673491917550564E-4</v>
      </c>
      <c r="H93" s="18">
        <v>2.3348913236986851E-4</v>
      </c>
      <c r="I93" s="18">
        <v>-3.956646251026541E-4</v>
      </c>
      <c r="J93" s="18">
        <v>2.3872914607636631E-4</v>
      </c>
      <c r="K93" s="18">
        <v>-7.2110339533537626E-4</v>
      </c>
      <c r="L93" s="18">
        <v>2.7655684971250588E-4</v>
      </c>
      <c r="M93" s="18">
        <v>-5.7278724852949381E-4</v>
      </c>
      <c r="N93" s="18">
        <v>-4.284869646653533E-4</v>
      </c>
      <c r="O93" s="18">
        <v>-1.0854422580450771E-3</v>
      </c>
      <c r="P93" s="18">
        <v>-1.94677384570241E-4</v>
      </c>
      <c r="Q93" s="18">
        <v>-6.5750628709793091E-4</v>
      </c>
      <c r="R93" s="18">
        <v>2.8737538959830999E-3</v>
      </c>
      <c r="S93" s="18">
        <v>-5.4447905858978629E-4</v>
      </c>
      <c r="T93" s="18">
        <v>6.3987553585320711E-4</v>
      </c>
      <c r="U93" s="18">
        <v>-5.821943050250411E-4</v>
      </c>
      <c r="V93" s="18">
        <v>1.642380375415087E-4</v>
      </c>
      <c r="W93" s="18">
        <v>7.6491571962833405E-4</v>
      </c>
      <c r="X93" s="18">
        <v>-1.2804375728592281E-3</v>
      </c>
      <c r="Y93" s="18">
        <v>-8.1808498362079263E-4</v>
      </c>
      <c r="Z93" s="18">
        <v>-1.1794698657467959E-3</v>
      </c>
      <c r="AA93" s="18">
        <v>-1.174127799458802E-3</v>
      </c>
      <c r="AB93" s="18">
        <v>-8.0931850243359804E-4</v>
      </c>
      <c r="AC93" s="18">
        <v>1.59169640392065E-3</v>
      </c>
      <c r="AD93" s="18">
        <v>-2.008670242503285E-3</v>
      </c>
      <c r="AE93" s="18">
        <v>2.703472506254911E-3</v>
      </c>
      <c r="AF93" s="18">
        <v>2.073927316814661E-4</v>
      </c>
      <c r="AG93" s="17">
        <v>5</v>
      </c>
      <c r="AH93" s="16">
        <v>4.0000000000000001E-3</v>
      </c>
      <c r="AI93" s="17">
        <v>51</v>
      </c>
    </row>
    <row r="94" spans="1:35" x14ac:dyDescent="0.35">
      <c r="A94" s="27">
        <v>90</v>
      </c>
      <c r="B94" s="18">
        <v>1.5031142234802251</v>
      </c>
      <c r="C94" s="18">
        <v>1.158906102180481</v>
      </c>
      <c r="D94" s="18">
        <v>0.90428096055984497</v>
      </c>
      <c r="E94" s="18">
        <v>0.75055205821990967</v>
      </c>
      <c r="F94" s="18">
        <v>0.5360710620880127</v>
      </c>
      <c r="G94" s="18">
        <v>0.43846747279167181</v>
      </c>
      <c r="H94" s="18">
        <v>0.34358391165733337</v>
      </c>
      <c r="I94" s="18">
        <v>-3.3208722015842801E-4</v>
      </c>
      <c r="J94" s="18">
        <v>1.3762059097643939E-4</v>
      </c>
      <c r="K94" s="18">
        <v>-1.9820449233520779E-4</v>
      </c>
      <c r="L94" s="18">
        <v>2.9708000511163849E-5</v>
      </c>
      <c r="M94" s="18">
        <v>-2.0724959904327991E-4</v>
      </c>
      <c r="N94" s="18">
        <v>-1.1797418119385841E-3</v>
      </c>
      <c r="O94" s="18">
        <v>2.0410693250596519E-3</v>
      </c>
      <c r="P94" s="18">
        <v>4.5601010788232088E-4</v>
      </c>
      <c r="Q94" s="18">
        <v>-8.6114351870492101E-4</v>
      </c>
      <c r="R94" s="18">
        <v>-5.8793381322175264E-4</v>
      </c>
      <c r="S94" s="18">
        <v>-9.7672257106751204E-4</v>
      </c>
      <c r="T94" s="18">
        <v>-1.5450940700247879E-3</v>
      </c>
      <c r="U94" s="18">
        <v>-4.1674650856293738E-4</v>
      </c>
      <c r="V94" s="18">
        <v>9.5081335166469216E-4</v>
      </c>
      <c r="W94" s="18">
        <v>7.3128286749124527E-4</v>
      </c>
      <c r="X94" s="18">
        <v>7.9742009984329343E-4</v>
      </c>
      <c r="Y94" s="18">
        <v>7.4819201836362481E-4</v>
      </c>
      <c r="Z94" s="18">
        <v>5.8863748563453555E-4</v>
      </c>
      <c r="AA94" s="18">
        <v>-2.0947630982846022E-3</v>
      </c>
      <c r="AB94" s="18">
        <v>-1.5008808113634591E-3</v>
      </c>
      <c r="AC94" s="18">
        <v>-2.7477112598717208E-3</v>
      </c>
      <c r="AD94" s="18">
        <v>-6.0233211843296885E-4</v>
      </c>
      <c r="AE94" s="18">
        <v>3.5131021286360919E-4</v>
      </c>
      <c r="AF94" s="18">
        <v>-3.032391578017268E-5</v>
      </c>
      <c r="AG94" s="17">
        <v>7</v>
      </c>
      <c r="AH94" s="16">
        <v>6.0000000000000001E-3</v>
      </c>
      <c r="AI94" s="17">
        <v>31</v>
      </c>
    </row>
    <row r="95" spans="1:35" x14ac:dyDescent="0.35">
      <c r="A95" s="27">
        <v>91</v>
      </c>
      <c r="B95" s="18">
        <v>1.0788639783859251</v>
      </c>
      <c r="C95" s="18">
        <v>0.66872566938400269</v>
      </c>
      <c r="D95" s="18">
        <v>0.28915244340896612</v>
      </c>
      <c r="E95" s="18">
        <v>0.24489009380340579</v>
      </c>
      <c r="F95" s="18">
        <v>1.08406285289675E-3</v>
      </c>
      <c r="G95" s="18">
        <v>2.9320476460270578E-4</v>
      </c>
      <c r="H95" s="18">
        <v>-3.1637388019589707E-5</v>
      </c>
      <c r="I95" s="18">
        <v>-4.6062486944720149E-4</v>
      </c>
      <c r="J95" s="18">
        <v>1.3241719898360321E-5</v>
      </c>
      <c r="K95" s="18">
        <v>2.9191581415943801E-4</v>
      </c>
      <c r="L95" s="18">
        <v>-2.0778190810233349E-4</v>
      </c>
      <c r="M95" s="18">
        <v>-8.6810125503689051E-4</v>
      </c>
      <c r="N95" s="18">
        <v>5.8464182075113058E-5</v>
      </c>
      <c r="O95" s="18">
        <v>5.9233122738078237E-4</v>
      </c>
      <c r="P95" s="18">
        <v>-9.2028529616072774E-4</v>
      </c>
      <c r="Q95" s="18">
        <v>6.6488463198766112E-4</v>
      </c>
      <c r="R95" s="18">
        <v>9.6901589131448418E-5</v>
      </c>
      <c r="S95" s="18">
        <v>7.5011055741924793E-5</v>
      </c>
      <c r="T95" s="18">
        <v>1.1453089537098999E-3</v>
      </c>
      <c r="U95" s="18">
        <v>1.435532001778483E-3</v>
      </c>
      <c r="V95" s="18">
        <v>1.1804417008534069E-3</v>
      </c>
      <c r="W95" s="18">
        <v>6.3658802537247539E-4</v>
      </c>
      <c r="X95" s="18">
        <v>1.6464632062707099E-4</v>
      </c>
      <c r="Y95" s="18">
        <v>1.389399403706193E-3</v>
      </c>
      <c r="Z95" s="18">
        <v>1.982714602490887E-4</v>
      </c>
      <c r="AA95" s="18">
        <v>-8.2822272088378668E-4</v>
      </c>
      <c r="AB95" s="18">
        <v>4.2971802758984268E-4</v>
      </c>
      <c r="AC95" s="18">
        <v>-1.700827619060874E-3</v>
      </c>
      <c r="AD95" s="18">
        <v>1.6758197452872989E-3</v>
      </c>
      <c r="AE95" s="18">
        <v>-1.054902328178287E-3</v>
      </c>
      <c r="AF95" s="18">
        <v>2.478225389495492E-3</v>
      </c>
      <c r="AG95" s="17">
        <v>4</v>
      </c>
      <c r="AH95" s="16">
        <v>3.0000000000000001E-3</v>
      </c>
      <c r="AI95" s="17">
        <v>97</v>
      </c>
    </row>
    <row r="96" spans="1:35" x14ac:dyDescent="0.35">
      <c r="A96" s="27">
        <v>92</v>
      </c>
      <c r="B96" s="18">
        <v>1.2105221748352051</v>
      </c>
      <c r="C96" s="18">
        <v>0.86400985717773438</v>
      </c>
      <c r="D96" s="18">
        <v>0.59183996915817261</v>
      </c>
      <c r="E96" s="18">
        <v>0.49837639927864069</v>
      </c>
      <c r="F96" s="18">
        <v>0.3236268162727356</v>
      </c>
      <c r="G96" s="18">
        <v>0.27430874109268188</v>
      </c>
      <c r="H96" s="18">
        <v>0.21074482798576349</v>
      </c>
      <c r="I96" s="18">
        <v>7.6313852332532406E-5</v>
      </c>
      <c r="J96" s="18">
        <v>-2.9172829817980528E-4</v>
      </c>
      <c r="K96" s="18">
        <v>5.5429112398996949E-4</v>
      </c>
      <c r="L96" s="18">
        <v>-3.4557119943201542E-4</v>
      </c>
      <c r="M96" s="18">
        <v>-4.5986691839061677E-4</v>
      </c>
      <c r="N96" s="18">
        <v>4.1531978058628738E-4</v>
      </c>
      <c r="O96" s="18">
        <v>5.6121661327779293E-4</v>
      </c>
      <c r="P96" s="18">
        <v>-2.8431194368749862E-4</v>
      </c>
      <c r="Q96" s="18">
        <v>6.0138624394312501E-4</v>
      </c>
      <c r="R96" s="18">
        <v>3.1271490734070539E-3</v>
      </c>
      <c r="S96" s="18">
        <v>-5.4563127923756838E-4</v>
      </c>
      <c r="T96" s="18">
        <v>1.4887505676597359E-3</v>
      </c>
      <c r="U96" s="18">
        <v>-5.4519470722880208E-5</v>
      </c>
      <c r="V96" s="18">
        <v>9.6590124303475022E-4</v>
      </c>
      <c r="W96" s="18">
        <v>5.7892082259058952E-4</v>
      </c>
      <c r="X96" s="18">
        <v>4.4392782729119062E-4</v>
      </c>
      <c r="Y96" s="18">
        <v>-3.0823703855276108E-4</v>
      </c>
      <c r="Z96" s="18">
        <v>6.7456625401973724E-4</v>
      </c>
      <c r="AA96" s="18">
        <v>-6.5800239099189639E-4</v>
      </c>
      <c r="AB96" s="18">
        <v>1.1398773640394211E-3</v>
      </c>
      <c r="AC96" s="18">
        <v>-1.730464136926457E-4</v>
      </c>
      <c r="AD96" s="18">
        <v>-2.377982717007399E-3</v>
      </c>
      <c r="AE96" s="18">
        <v>-2.032697899267077E-3</v>
      </c>
      <c r="AF96" s="18">
        <v>-2.8572868905030191E-4</v>
      </c>
      <c r="AG96" s="17">
        <v>7</v>
      </c>
      <c r="AH96" s="16">
        <v>6.0000000000000001E-3</v>
      </c>
      <c r="AI96" s="17">
        <v>32</v>
      </c>
    </row>
    <row r="97" spans="1:35" x14ac:dyDescent="0.35">
      <c r="A97" s="27">
        <v>93</v>
      </c>
      <c r="B97" s="18">
        <v>1.6011960506439209</v>
      </c>
      <c r="C97" s="18">
        <v>1.2370495796203611</v>
      </c>
      <c r="D97" s="18">
        <v>0.95110863447189331</v>
      </c>
      <c r="E97" s="18">
        <v>0.85609573125839233</v>
      </c>
      <c r="F97" s="18">
        <v>0.57575094699859619</v>
      </c>
      <c r="G97" s="18">
        <v>0.46642288565635681</v>
      </c>
      <c r="H97" s="18">
        <v>0.34872967004776001</v>
      </c>
      <c r="I97" s="18">
        <v>0.35025686025619512</v>
      </c>
      <c r="J97" s="18">
        <v>0.2635132372379303</v>
      </c>
      <c r="K97" s="18">
        <v>0.3205450177192688</v>
      </c>
      <c r="L97" s="18">
        <v>0.23902538418769839</v>
      </c>
      <c r="M97" s="18">
        <v>0.29437243938446039</v>
      </c>
      <c r="N97" s="18">
        <v>0.30508747696876531</v>
      </c>
      <c r="O97" s="18">
        <v>0.35250744223594671</v>
      </c>
      <c r="P97" s="18">
        <v>3.2243126770481473E-4</v>
      </c>
      <c r="Q97" s="18">
        <v>-8.3894806448370218E-4</v>
      </c>
      <c r="R97" s="18">
        <v>1.184418797492981E-3</v>
      </c>
      <c r="S97" s="18">
        <v>6.3891999889165163E-4</v>
      </c>
      <c r="T97" s="18">
        <v>1.4888951554894449E-3</v>
      </c>
      <c r="U97" s="18">
        <v>8.341700304299593E-4</v>
      </c>
      <c r="V97" s="18">
        <v>2.9035811894573271E-4</v>
      </c>
      <c r="W97" s="18">
        <v>-1.212836723425426E-4</v>
      </c>
      <c r="X97" s="18">
        <v>-1.2583975913003089E-3</v>
      </c>
      <c r="Y97" s="18">
        <v>1.488519133999944E-3</v>
      </c>
      <c r="Z97" s="18">
        <v>-1.254650123883039E-4</v>
      </c>
      <c r="AA97" s="18">
        <v>-1.409320277161896E-3</v>
      </c>
      <c r="AB97" s="18">
        <v>-1.9167191348969941E-3</v>
      </c>
      <c r="AC97" s="18">
        <v>-4.4606270967051392E-4</v>
      </c>
      <c r="AD97" s="18">
        <v>9.7663665656000376E-4</v>
      </c>
      <c r="AE97" s="18">
        <v>2.8941449709236622E-3</v>
      </c>
      <c r="AF97" s="18">
        <v>8.1940740346908569E-4</v>
      </c>
      <c r="AG97" s="17">
        <v>14</v>
      </c>
      <c r="AH97" s="16">
        <v>1.2999999999999999E-2</v>
      </c>
      <c r="AI97" s="17">
        <v>16</v>
      </c>
    </row>
    <row r="98" spans="1:35" x14ac:dyDescent="0.35">
      <c r="A98" s="27">
        <v>94</v>
      </c>
      <c r="B98" s="18">
        <v>1.171317577362061</v>
      </c>
      <c r="C98" s="18">
        <v>0.80801594257354736</v>
      </c>
      <c r="D98" s="18">
        <v>0.52584809064865112</v>
      </c>
      <c r="E98" s="18">
        <v>0.45702296495437622</v>
      </c>
      <c r="F98" s="18">
        <v>0.24195243418216711</v>
      </c>
      <c r="G98" s="18">
        <v>3.1444139312952761E-3</v>
      </c>
      <c r="H98" s="18">
        <v>3.6427580198505893E-5</v>
      </c>
      <c r="I98" s="18">
        <v>6.1348965391516685E-4</v>
      </c>
      <c r="J98" s="18">
        <v>-2.0486534049268809E-4</v>
      </c>
      <c r="K98" s="18">
        <v>1.7088088497985149E-4</v>
      </c>
      <c r="L98" s="18">
        <v>1.9473191059660169E-4</v>
      </c>
      <c r="M98" s="18">
        <v>5.4555642418563366E-4</v>
      </c>
      <c r="N98" s="18">
        <v>-6.3235231209546328E-4</v>
      </c>
      <c r="O98" s="18">
        <v>1.025759731419384E-3</v>
      </c>
      <c r="P98" s="18">
        <v>2.8894070419482892E-4</v>
      </c>
      <c r="Q98" s="18">
        <v>1.18696152640041E-4</v>
      </c>
      <c r="R98" s="18">
        <v>-2.8341170036583211E-5</v>
      </c>
      <c r="S98" s="18">
        <v>-1.4677478466182949E-3</v>
      </c>
      <c r="T98" s="18">
        <v>1.6908103134483099E-4</v>
      </c>
      <c r="U98" s="18">
        <v>-1.477527199313045E-3</v>
      </c>
      <c r="V98" s="18">
        <v>-1.1376439360901709E-3</v>
      </c>
      <c r="W98" s="18">
        <v>1.057213987223804E-3</v>
      </c>
      <c r="X98" s="18">
        <v>1.010036445222795E-3</v>
      </c>
      <c r="Y98" s="18">
        <v>-6.9265341153368354E-4</v>
      </c>
      <c r="Z98" s="18">
        <v>2.3020035587251189E-4</v>
      </c>
      <c r="AA98" s="18">
        <v>-8.1279710866510868E-4</v>
      </c>
      <c r="AB98" s="18">
        <v>-2.1612134296447039E-3</v>
      </c>
      <c r="AC98" s="18">
        <v>-1.2724990956485269E-3</v>
      </c>
      <c r="AD98" s="18">
        <v>2.972500398755074E-3</v>
      </c>
      <c r="AE98" s="18">
        <v>-1.9884533248841758E-3</v>
      </c>
      <c r="AF98" s="18">
        <v>6.1089720111340284E-4</v>
      </c>
      <c r="AG98" s="17">
        <v>5</v>
      </c>
      <c r="AH98" s="16">
        <v>4.0000000000000001E-3</v>
      </c>
      <c r="AI98" s="17">
        <v>52</v>
      </c>
    </row>
    <row r="99" spans="1:35" x14ac:dyDescent="0.35">
      <c r="A99" s="27">
        <v>95</v>
      </c>
      <c r="B99" s="18">
        <v>1.041302084922791</v>
      </c>
      <c r="C99" s="18">
        <v>0.66719061136245728</v>
      </c>
      <c r="D99" s="18">
        <v>0.33361354470252991</v>
      </c>
      <c r="E99" s="18">
        <v>0.26521804928779602</v>
      </c>
      <c r="F99" s="18">
        <v>-1.762754167430103E-3</v>
      </c>
      <c r="G99" s="18">
        <v>-3.182771906722337E-4</v>
      </c>
      <c r="H99" s="18">
        <v>1.7233462131116539E-4</v>
      </c>
      <c r="I99" s="18">
        <v>2.3279777087736869E-4</v>
      </c>
      <c r="J99" s="18">
        <v>3.110840407316573E-5</v>
      </c>
      <c r="K99" s="18">
        <v>2.668347442522645E-4</v>
      </c>
      <c r="L99" s="18">
        <v>2.779084315989166E-4</v>
      </c>
      <c r="M99" s="18">
        <v>-2.8549556736834353E-4</v>
      </c>
      <c r="N99" s="18">
        <v>-6.6998624242842197E-4</v>
      </c>
      <c r="O99" s="18">
        <v>-1.357082393951714E-3</v>
      </c>
      <c r="P99" s="18">
        <v>2.6947737205773592E-4</v>
      </c>
      <c r="Q99" s="18">
        <v>-4.9105484504252672E-4</v>
      </c>
      <c r="R99" s="18">
        <v>1.4437886420637369E-3</v>
      </c>
      <c r="S99" s="18">
        <v>1.1669888626784091E-3</v>
      </c>
      <c r="T99" s="18">
        <v>1.108130090869963E-3</v>
      </c>
      <c r="U99" s="18">
        <v>8.8952627265825868E-4</v>
      </c>
      <c r="V99" s="18">
        <v>9.7799673676490784E-4</v>
      </c>
      <c r="W99" s="18">
        <v>-7.7604362741112709E-4</v>
      </c>
      <c r="X99" s="18">
        <v>-1.6588025027886031E-3</v>
      </c>
      <c r="Y99" s="18">
        <v>4.4853473082184792E-4</v>
      </c>
      <c r="Z99" s="18">
        <v>-1.381432986818254E-3</v>
      </c>
      <c r="AA99" s="18">
        <v>6.0779345221817493E-4</v>
      </c>
      <c r="AB99" s="18">
        <v>-5.6845241488190368E-5</v>
      </c>
      <c r="AC99" s="18">
        <v>1.2718646030407399E-4</v>
      </c>
      <c r="AD99" s="18">
        <v>-8.9412200031802058E-4</v>
      </c>
      <c r="AE99" s="18">
        <v>1.0723599698394539E-3</v>
      </c>
      <c r="AF99" s="18">
        <v>1.6548260464333001E-4</v>
      </c>
      <c r="AG99" s="17">
        <v>4</v>
      </c>
      <c r="AH99" s="16">
        <v>3.0000000000000001E-3</v>
      </c>
      <c r="AI99" s="17">
        <v>98</v>
      </c>
    </row>
    <row r="100" spans="1:35" x14ac:dyDescent="0.35">
      <c r="A100" s="27">
        <v>96</v>
      </c>
      <c r="B100" s="18">
        <v>1.0362614393234251</v>
      </c>
      <c r="C100" s="18">
        <v>0.6749497652053833</v>
      </c>
      <c r="D100" s="18">
        <v>0.35689935088157648</v>
      </c>
      <c r="E100" s="18">
        <v>0.33519905805587769</v>
      </c>
      <c r="F100" s="18">
        <v>3.5061384551227087E-4</v>
      </c>
      <c r="G100" s="18">
        <v>-5.1931245252490044E-4</v>
      </c>
      <c r="H100" s="18">
        <v>-1.050361970555969E-4</v>
      </c>
      <c r="I100" s="18">
        <v>5.1764876116067171E-4</v>
      </c>
      <c r="J100" s="18">
        <v>3.017892595380545E-5</v>
      </c>
      <c r="K100" s="18">
        <v>6.2924029771238565E-4</v>
      </c>
      <c r="L100" s="18">
        <v>-5.5531214457005262E-5</v>
      </c>
      <c r="M100" s="18">
        <v>7.5062853284180164E-4</v>
      </c>
      <c r="N100" s="18">
        <v>4.3133541475981469E-4</v>
      </c>
      <c r="O100" s="18">
        <v>-4.4521287782117719E-4</v>
      </c>
      <c r="P100" s="18">
        <v>1.7439923249185091E-4</v>
      </c>
      <c r="Q100" s="18">
        <v>-7.7139202039688826E-4</v>
      </c>
      <c r="R100" s="18">
        <v>5.0965463742613792E-4</v>
      </c>
      <c r="S100" s="18">
        <v>1.308670151047409E-3</v>
      </c>
      <c r="T100" s="18">
        <v>1.4112455537542701E-3</v>
      </c>
      <c r="U100" s="18">
        <v>2.559740096330643E-5</v>
      </c>
      <c r="V100" s="18">
        <v>6.8672362249344587E-4</v>
      </c>
      <c r="W100" s="18">
        <v>1.1946733575314279E-3</v>
      </c>
      <c r="X100" s="18">
        <v>-1.242370810359716E-3</v>
      </c>
      <c r="Y100" s="18">
        <v>-7.2205718606710434E-4</v>
      </c>
      <c r="Z100" s="18">
        <v>1.0115712648257611E-3</v>
      </c>
      <c r="AA100" s="18">
        <v>-1.893517095595598E-3</v>
      </c>
      <c r="AB100" s="18">
        <v>-2.1209521219134331E-3</v>
      </c>
      <c r="AC100" s="18">
        <v>1.786137581802905E-3</v>
      </c>
      <c r="AD100" s="18">
        <v>1.5246954280883069E-3</v>
      </c>
      <c r="AE100" s="18">
        <v>1.3712840154767039E-4</v>
      </c>
      <c r="AF100" s="18">
        <v>-2.716495655477047E-4</v>
      </c>
      <c r="AG100" s="17">
        <v>4</v>
      </c>
      <c r="AH100" s="16">
        <v>3.0000000000000001E-3</v>
      </c>
      <c r="AI100" s="17">
        <v>99</v>
      </c>
    </row>
    <row r="101" spans="1:35" x14ac:dyDescent="0.35">
      <c r="A101" s="27">
        <v>97</v>
      </c>
      <c r="B101" s="18">
        <v>1.06405246257782</v>
      </c>
      <c r="C101" s="18">
        <v>0.68335068225860596</v>
      </c>
      <c r="D101" s="18">
        <v>0.33850741386413569</v>
      </c>
      <c r="E101" s="18">
        <v>0.30798715353012079</v>
      </c>
      <c r="F101" s="18">
        <v>-5.7648000074550509E-4</v>
      </c>
      <c r="G101" s="18">
        <v>-1.5425159363076091E-3</v>
      </c>
      <c r="H101" s="18">
        <v>4.7484535025432711E-4</v>
      </c>
      <c r="I101" s="18">
        <v>1.0203986894339321E-3</v>
      </c>
      <c r="J101" s="18">
        <v>1.178888924187049E-4</v>
      </c>
      <c r="K101" s="18">
        <v>4.2082491563633079E-4</v>
      </c>
      <c r="L101" s="18">
        <v>4.5976892579346902E-5</v>
      </c>
      <c r="M101" s="18">
        <v>-8.6399482097476721E-4</v>
      </c>
      <c r="N101" s="18">
        <v>-8.0473779235035181E-4</v>
      </c>
      <c r="O101" s="18">
        <v>3.4167259000241761E-3</v>
      </c>
      <c r="P101" s="18">
        <v>-1.6944133676588539E-5</v>
      </c>
      <c r="Q101" s="18">
        <v>2.6168127078562972E-5</v>
      </c>
      <c r="R101" s="18">
        <v>3.3035818487405781E-3</v>
      </c>
      <c r="S101" s="18">
        <v>1.2901278678327801E-3</v>
      </c>
      <c r="T101" s="18">
        <v>2.5061476044356819E-3</v>
      </c>
      <c r="U101" s="18">
        <v>-5.6167301954701543E-4</v>
      </c>
      <c r="V101" s="18">
        <v>1.3602292165160179E-4</v>
      </c>
      <c r="W101" s="18">
        <v>3.0390953179448838E-4</v>
      </c>
      <c r="X101" s="18">
        <v>-3.2967468723654752E-4</v>
      </c>
      <c r="Y101" s="18">
        <v>-1.348922261968255E-3</v>
      </c>
      <c r="Z101" s="18">
        <v>8.8988279458135366E-4</v>
      </c>
      <c r="AA101" s="18">
        <v>-1.0444119106978179E-4</v>
      </c>
      <c r="AB101" s="18">
        <v>6.1567709781229496E-4</v>
      </c>
      <c r="AC101" s="18">
        <v>3.5269178915768862E-3</v>
      </c>
      <c r="AD101" s="18">
        <v>1.9462499767541891E-4</v>
      </c>
      <c r="AE101" s="18">
        <v>1.0300092399120331E-3</v>
      </c>
      <c r="AF101" s="18">
        <v>9.5454230904579163E-4</v>
      </c>
      <c r="AG101" s="17">
        <v>4</v>
      </c>
      <c r="AH101" s="16">
        <v>3.0000000000000001E-3</v>
      </c>
      <c r="AI101" s="17">
        <v>100</v>
      </c>
    </row>
    <row r="102" spans="1:35" x14ac:dyDescent="0.35">
      <c r="A102" s="27">
        <v>98</v>
      </c>
      <c r="B102" s="18">
        <v>1.3762252330780029</v>
      </c>
      <c r="C102" s="18">
        <v>0.99395233392715454</v>
      </c>
      <c r="D102" s="18">
        <v>0.73591715097427368</v>
      </c>
      <c r="E102" s="18">
        <v>0.57668399810791016</v>
      </c>
      <c r="F102" s="18">
        <v>0.48350328207015991</v>
      </c>
      <c r="G102" s="18">
        <v>0.4463493824005127</v>
      </c>
      <c r="H102" s="18">
        <v>1.5064043691381809E-4</v>
      </c>
      <c r="I102" s="18">
        <v>7.5490004383027554E-4</v>
      </c>
      <c r="J102" s="18">
        <v>-1.504228566773236E-5</v>
      </c>
      <c r="K102" s="18">
        <v>4.3284991988912219E-4</v>
      </c>
      <c r="L102" s="18">
        <v>-2.5162051315419381E-4</v>
      </c>
      <c r="M102" s="18">
        <v>-4.1955889901146293E-4</v>
      </c>
      <c r="N102" s="18">
        <v>5.7594373356550932E-4</v>
      </c>
      <c r="O102" s="18">
        <v>8.2697824109345675E-4</v>
      </c>
      <c r="P102" s="18">
        <v>-5.3447415120899677E-4</v>
      </c>
      <c r="Q102" s="18">
        <v>6.3386640977114439E-4</v>
      </c>
      <c r="R102" s="18">
        <v>-4.9868784844875336E-4</v>
      </c>
      <c r="S102" s="18">
        <v>1.758328173309565E-3</v>
      </c>
      <c r="T102" s="18">
        <v>-1.8364144489169121E-4</v>
      </c>
      <c r="U102" s="18">
        <v>2.6805885136127472E-4</v>
      </c>
      <c r="V102" s="18">
        <v>7.341394666582346E-5</v>
      </c>
      <c r="W102" s="18">
        <v>-1.479315804317594E-3</v>
      </c>
      <c r="X102" s="18">
        <v>1.434351084753871E-3</v>
      </c>
      <c r="Y102" s="18">
        <v>4.0798971895128489E-4</v>
      </c>
      <c r="Z102" s="18">
        <v>3.3162848558276892E-4</v>
      </c>
      <c r="AA102" s="18">
        <v>9.2865165788680315E-4</v>
      </c>
      <c r="AB102" s="18">
        <v>-3.4437200520187622E-4</v>
      </c>
      <c r="AC102" s="18">
        <v>-1.3965414837002751E-5</v>
      </c>
      <c r="AD102" s="18">
        <v>5.6506367400288582E-5</v>
      </c>
      <c r="AE102" s="18">
        <v>2.05290550366044E-3</v>
      </c>
      <c r="AF102" s="18">
        <v>-1.810454530641437E-3</v>
      </c>
      <c r="AG102" s="17">
        <v>6</v>
      </c>
      <c r="AH102" s="16">
        <v>5.0000000000000001E-3</v>
      </c>
      <c r="AI102" s="17">
        <v>37</v>
      </c>
    </row>
    <row r="103" spans="1:35" x14ac:dyDescent="0.35">
      <c r="A103" s="27">
        <v>99</v>
      </c>
      <c r="B103" s="18">
        <v>1.0503319501876831</v>
      </c>
      <c r="C103" s="18">
        <v>0.65104198455810547</v>
      </c>
      <c r="D103" s="18">
        <v>0.27812963724136353</v>
      </c>
      <c r="E103" s="18">
        <v>0.24592144787311551</v>
      </c>
      <c r="F103" s="18">
        <v>8.2473590737208724E-4</v>
      </c>
      <c r="G103" s="18">
        <v>9.7443221602588892E-4</v>
      </c>
      <c r="H103" s="18">
        <v>-5.0243671284988523E-4</v>
      </c>
      <c r="I103" s="18">
        <v>-1.5875656390562651E-4</v>
      </c>
      <c r="J103" s="18">
        <v>-1.6943374066613609E-4</v>
      </c>
      <c r="K103" s="18">
        <v>3.3297966001555318E-4</v>
      </c>
      <c r="L103" s="18">
        <v>-1.3608153676614171E-4</v>
      </c>
      <c r="M103" s="18">
        <v>-1.2615637388080361E-3</v>
      </c>
      <c r="N103" s="18">
        <v>-1.375299878418446E-3</v>
      </c>
      <c r="O103" s="18">
        <v>1.5371347544714811E-3</v>
      </c>
      <c r="P103" s="18">
        <v>-2.7652911376208072E-4</v>
      </c>
      <c r="Q103" s="18">
        <v>1.2432836228981609E-4</v>
      </c>
      <c r="R103" s="18">
        <v>3.7368736229836941E-6</v>
      </c>
      <c r="S103" s="18">
        <v>1.4207093045115471E-3</v>
      </c>
      <c r="T103" s="18">
        <v>-7.6487823389470577E-4</v>
      </c>
      <c r="U103" s="18">
        <v>-7.3224748484790325E-4</v>
      </c>
      <c r="V103" s="18">
        <v>4.4947909191250801E-4</v>
      </c>
      <c r="W103" s="18">
        <v>-1.1552163632586601E-3</v>
      </c>
      <c r="X103" s="18">
        <v>-1.70954642817378E-3</v>
      </c>
      <c r="Y103" s="18">
        <v>7.5237767305225134E-4</v>
      </c>
      <c r="Z103" s="18">
        <v>-4.7421350609511142E-4</v>
      </c>
      <c r="AA103" s="18">
        <v>-7.9543003812432289E-4</v>
      </c>
      <c r="AB103" s="18">
        <v>3.9962341543287039E-4</v>
      </c>
      <c r="AC103" s="18">
        <v>2.1015554666519169E-3</v>
      </c>
      <c r="AD103" s="18">
        <v>7.8200129792094231E-5</v>
      </c>
      <c r="AE103" s="18">
        <v>1.104559982195497E-3</v>
      </c>
      <c r="AF103" s="18">
        <v>2.6577319949865341E-3</v>
      </c>
      <c r="AG103" s="17">
        <v>4</v>
      </c>
      <c r="AH103" s="16">
        <v>3.0000000000000001E-3</v>
      </c>
      <c r="AI103" s="17">
        <v>101</v>
      </c>
    </row>
    <row r="104" spans="1:35" x14ac:dyDescent="0.35">
      <c r="A104" s="27">
        <v>100</v>
      </c>
      <c r="B104" s="18">
        <v>1.172961473464966</v>
      </c>
      <c r="C104" s="18">
        <v>0.77253913879394531</v>
      </c>
      <c r="D104" s="18">
        <v>0.42518904805183411</v>
      </c>
      <c r="E104" s="18">
        <v>0.27578213810920721</v>
      </c>
      <c r="F104" s="18">
        <v>-4.0524895302951341E-4</v>
      </c>
      <c r="G104" s="18">
        <v>3.6473036743700499E-4</v>
      </c>
      <c r="H104" s="18">
        <v>-2.052663476206362E-4</v>
      </c>
      <c r="I104" s="18">
        <v>-3.103166818618774E-6</v>
      </c>
      <c r="J104" s="18">
        <v>2.563544840086251E-4</v>
      </c>
      <c r="K104" s="18">
        <v>-5.3537287749350071E-4</v>
      </c>
      <c r="L104" s="18">
        <v>1.080854854080826E-4</v>
      </c>
      <c r="M104" s="18">
        <v>-1.5821418492123479E-4</v>
      </c>
      <c r="N104" s="18">
        <v>-1.0338083375245331E-3</v>
      </c>
      <c r="O104" s="18">
        <v>-1.257893862202764E-3</v>
      </c>
      <c r="P104" s="18">
        <v>7.3185469955205917E-4</v>
      </c>
      <c r="Q104" s="18">
        <v>-6.528647500090301E-4</v>
      </c>
      <c r="R104" s="18">
        <v>-6.2148796860128641E-4</v>
      </c>
      <c r="S104" s="18">
        <v>-9.4071292551234365E-4</v>
      </c>
      <c r="T104" s="18">
        <v>5.9580791275948286E-4</v>
      </c>
      <c r="U104" s="18">
        <v>7.4992014560848475E-4</v>
      </c>
      <c r="V104" s="18">
        <v>1.014325767755508E-3</v>
      </c>
      <c r="W104" s="18">
        <v>3.4579052589833742E-4</v>
      </c>
      <c r="X104" s="18">
        <v>5.2831077482551336E-4</v>
      </c>
      <c r="Y104" s="18">
        <v>3.1301937997341161E-4</v>
      </c>
      <c r="Z104" s="18">
        <v>4.3620250653475518E-4</v>
      </c>
      <c r="AA104" s="18">
        <v>-8.0152205191552639E-4</v>
      </c>
      <c r="AB104" s="18">
        <v>1.55529857147485E-3</v>
      </c>
      <c r="AC104" s="18">
        <v>3.220301354303956E-3</v>
      </c>
      <c r="AD104" s="18">
        <v>-1.249676104635E-3</v>
      </c>
      <c r="AE104" s="18">
        <v>-2.0958739332854752E-3</v>
      </c>
      <c r="AF104" s="18">
        <v>2.0744502544403081E-3</v>
      </c>
      <c r="AG104" s="17">
        <v>4</v>
      </c>
      <c r="AH104" s="16">
        <v>3.0000000000000001E-3</v>
      </c>
      <c r="AI104" s="17">
        <v>102</v>
      </c>
    </row>
    <row r="105" spans="1:35" x14ac:dyDescent="0.35">
      <c r="A105" s="27">
        <v>101</v>
      </c>
      <c r="B105" s="18">
        <v>1.2643226385116579</v>
      </c>
      <c r="C105" s="18">
        <v>0.90604710578918457</v>
      </c>
      <c r="D105" s="18">
        <v>0.63849931955337524</v>
      </c>
      <c r="E105" s="18">
        <v>0.55607223510742188</v>
      </c>
      <c r="F105" s="18">
        <v>0.45627379417419428</v>
      </c>
      <c r="G105" s="18">
        <v>0.42915284633636469</v>
      </c>
      <c r="H105" s="18">
        <v>0.37158188223838812</v>
      </c>
      <c r="I105" s="18">
        <v>0.36856970191001892</v>
      </c>
      <c r="J105" s="18">
        <v>0.30697321891784668</v>
      </c>
      <c r="K105" s="18">
        <v>0.31645965576171881</v>
      </c>
      <c r="L105" s="18">
        <v>0.26178273558616638</v>
      </c>
      <c r="M105" s="18">
        <v>3.0722780502401292E-4</v>
      </c>
      <c r="N105" s="18">
        <v>2.0789599511772389E-4</v>
      </c>
      <c r="O105" s="18">
        <v>6.2736152904108167E-4</v>
      </c>
      <c r="P105" s="18">
        <v>-5.2226253319531679E-4</v>
      </c>
      <c r="Q105" s="18">
        <v>1.5463551972061401E-4</v>
      </c>
      <c r="R105" s="18">
        <v>-5.649987724609673E-5</v>
      </c>
      <c r="S105" s="18">
        <v>7.2325335349887609E-4</v>
      </c>
      <c r="T105" s="18">
        <v>1.200799248181283E-3</v>
      </c>
      <c r="U105" s="18">
        <v>-1.730374060571194E-5</v>
      </c>
      <c r="V105" s="18">
        <v>-1.425304333679378E-3</v>
      </c>
      <c r="W105" s="18">
        <v>2.3749889805912969E-4</v>
      </c>
      <c r="X105" s="18">
        <v>1.584313926286995E-3</v>
      </c>
      <c r="Y105" s="18">
        <v>-2.1403655409812931E-5</v>
      </c>
      <c r="Z105" s="18">
        <v>-6.418576231226325E-4</v>
      </c>
      <c r="AA105" s="18">
        <v>-1.9246662268415089E-3</v>
      </c>
      <c r="AB105" s="18">
        <v>4.005025839433074E-4</v>
      </c>
      <c r="AC105" s="18">
        <v>-3.7300819531083112E-4</v>
      </c>
      <c r="AD105" s="18">
        <v>-2.6107090525329109E-3</v>
      </c>
      <c r="AE105" s="18">
        <v>-1.325500197708607E-4</v>
      </c>
      <c r="AF105" s="18">
        <v>-5.688169039785862E-4</v>
      </c>
      <c r="AG105" s="17">
        <v>11</v>
      </c>
      <c r="AH105" s="16">
        <v>0.01</v>
      </c>
      <c r="AI105" s="17">
        <v>23</v>
      </c>
    </row>
    <row r="107" spans="1:35" x14ac:dyDescent="0.35">
      <c r="A107" s="15" t="s">
        <v>228</v>
      </c>
    </row>
  </sheetData>
  <autoFilter ref="A3:AI105" xr:uid="{00000000-0009-0000-0000-000006000000}"/>
  <conditionalFormatting sqref="B4:AF105">
    <cfRule type="expression" dxfId="0" priority="1">
      <formula>ABS(B4)&gt;0.01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 Parameters</vt:lpstr>
      <vt:lpstr>Baseline Simple Parameters</vt:lpstr>
      <vt:lpstr>Architecture</vt:lpstr>
      <vt:lpstr>Simple Results by Lambda</vt:lpstr>
      <vt:lpstr>Simple Per-Class Recall</vt:lpstr>
      <vt:lpstr>Simple Confusion Matrices</vt:lpstr>
      <vt:lpstr>Simple Feature 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Lian</cp:lastModifiedBy>
  <dcterms:created xsi:type="dcterms:W3CDTF">2026-10-06T02:57:38Z</dcterms:created>
  <dcterms:modified xsi:type="dcterms:W3CDTF">2026-10-06T03:44:55Z</dcterms:modified>
</cp:coreProperties>
</file>